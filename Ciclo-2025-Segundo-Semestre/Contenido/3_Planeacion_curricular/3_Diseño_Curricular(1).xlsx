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S.12" sheetId="13" r:id="rId16"/>
    <sheet state="visible" name="Proyectos" sheetId="14" r:id="rId17"/>
    <sheet state="visible" name="Practicas" sheetId="15" r:id="rId18"/>
    <sheet state="visible" name="Tareas" sheetId="16" r:id="rId19"/>
    <sheet state="visible" name="Resumen" sheetId="17" r:id="rId20"/>
    <sheet state="hidden" name="METADATA" sheetId="18" r:id="rId21"/>
  </sheets>
  <definedNames/>
  <calcPr/>
  <extLst>
    <ext uri="GoogleSheetsCustomDataVersion2">
      <go:sheetsCustomData xmlns:go="http://customooxmlschemas.google.com/" r:id="rId22" roundtripDataChecksum="2Lp9JliEJW7MGGCsMD8/EvGTq/43hhp/on58xYnBHn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8">
      <text>
        <t xml:space="preserve">======
ID#AAABrmxR0b4
COCOCYS ECYS    (2025-09-28 11:34:50)
Hola en este caso se inicia en enero la semana 2,  iniciamos clases alrededor del 15 de enero, la primera semana es de diagnositico por lo tanto aun en enero da tiempo de la semana 2.  favor corregir</t>
      </text>
    </comment>
  </commentList>
  <extLst>
    <ext uri="GoogleSheetsCustomDataVersion2">
      <go:sheetsCustomData xmlns:go="http://customooxmlschemas.google.com/" r:id="rId1" roundtripDataSignature="AMtx7mhNqfu+dzWE6mvBUM/fSMKJRQvhZ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<sst xmlns="http://schemas.openxmlformats.org/spreadsheetml/2006/main" count="1472" uniqueCount="308">
  <si>
    <t>Diseño de Contenido Curricular</t>
  </si>
  <si>
    <t>Curso</t>
  </si>
  <si>
    <t>786 - Sistemas Organizacionales y Gerenciales 1</t>
  </si>
  <si>
    <t>Periodo al que aplica</t>
  </si>
  <si>
    <t>Primer Semestre 2026</t>
  </si>
  <si>
    <t>No.</t>
  </si>
  <si>
    <t>Competencia</t>
  </si>
  <si>
    <t>Nombre de la Unidad</t>
  </si>
  <si>
    <t>Tema</t>
  </si>
  <si>
    <t>Subtema</t>
  </si>
  <si>
    <t>Mes</t>
  </si>
  <si>
    <t>Semana</t>
  </si>
  <si>
    <t xml:space="preserve">valida metodologías de gestión del cambio y rediseño de procesos organizativos utilizando modelos de cambio organizativo y técnicas de reingeniería con el fin de garantizar la incorporación efectiva de las TIC </t>
  </si>
  <si>
    <t>Evolución del sistema de información</t>
  </si>
  <si>
    <t>Definición de sistema de información</t>
  </si>
  <si>
    <t>febrero</t>
  </si>
  <si>
    <t>Historia de los sistemas de información</t>
  </si>
  <si>
    <t>Tipos de sistemas de información</t>
  </si>
  <si>
    <t>Importancia en la empresa</t>
  </si>
  <si>
    <t>Desafíos actuales</t>
  </si>
  <si>
    <t>Ejemplos de sistemas en empresas</t>
  </si>
  <si>
    <t>Futuro de los sistemas de información</t>
  </si>
  <si>
    <t xml:space="preserve">contrasta ideas, soluciones y propuestas relacionadas con sistemas de información utilizando herramientas de comunicación efectiva con el fin de facilitar la colaboración y comprensión en la organización </t>
  </si>
  <si>
    <t>Gestión de recursos de información</t>
  </si>
  <si>
    <t>Fuentes de información</t>
  </si>
  <si>
    <t>Clasificación de la información</t>
  </si>
  <si>
    <t>Herramientas de gestión</t>
  </si>
  <si>
    <t>Procesos de toma de decisiones</t>
  </si>
  <si>
    <t>Ejemplos de gestión efectiva</t>
  </si>
  <si>
    <t>Impacto en la organización</t>
  </si>
  <si>
    <t>Estudio de caso</t>
  </si>
  <si>
    <t xml:space="preserve">combina técnicas de trabajo en equipo y colaboración interdisciplinaria empleando metodologías ágiles de gestión de proyectos con el fin de fomentar la innovación y eficiencia organizacional </t>
  </si>
  <si>
    <t>Business Analytics</t>
  </si>
  <si>
    <t>Definición de Business Analytics</t>
  </si>
  <si>
    <t>Herramientas de análisis</t>
  </si>
  <si>
    <t>Importancia en la toma de decisiones</t>
  </si>
  <si>
    <t>Ejemplos de Business Analytics</t>
  </si>
  <si>
    <t>Casos de éxito</t>
  </si>
  <si>
    <t>Integración con sistemas de información</t>
  </si>
  <si>
    <t>Tendencias futuras</t>
  </si>
  <si>
    <t>La gestión del conocimiento</t>
  </si>
  <si>
    <t>Concepto de gestión del conocimiento</t>
  </si>
  <si>
    <t>Estrategias de gestión</t>
  </si>
  <si>
    <t>Herramientas tecnológicas</t>
  </si>
  <si>
    <t>Ejemplos de gestión del conocimiento</t>
  </si>
  <si>
    <t>Futuro de la gestión del conocimiento</t>
  </si>
  <si>
    <t>Papel estratégico de las TIC</t>
  </si>
  <si>
    <t>Definición de TIC</t>
  </si>
  <si>
    <t>Historia de las TIC</t>
  </si>
  <si>
    <t>Tipos de TIC</t>
  </si>
  <si>
    <t>marzo</t>
  </si>
  <si>
    <t>Ejemplos de uso de TIC en empresas</t>
  </si>
  <si>
    <t>Futuro de las TIC</t>
  </si>
  <si>
    <t>Sistemas de información en negocios globales</t>
  </si>
  <si>
    <t>Definición de sistemas en negocios globales</t>
  </si>
  <si>
    <t xml:space="preserve">moviliza habilidades de pensamiento crítico y resolución de problemas utilizando estudios de caso empresariales con el fin de fortalecer la toma de decisiones en entornos organizacionales </t>
  </si>
  <si>
    <t>Impacto en la globalización</t>
  </si>
  <si>
    <t>Ejemplos de implementación</t>
  </si>
  <si>
    <t>Desafíos en la integración</t>
  </si>
  <si>
    <t>Impacto en la cultura empresarial</t>
  </si>
  <si>
    <t>Futuro de los negocios globales</t>
  </si>
  <si>
    <t>Global e-business y colaboración</t>
  </si>
  <si>
    <t>Definición de e-business</t>
  </si>
  <si>
    <t>Estrategias de colaboración</t>
  </si>
  <si>
    <t>Ejemplos de e-business</t>
  </si>
  <si>
    <t xml:space="preserve">revisa la evolución de los sistemas de información en la empresa mediante el análisis de casos históricos y actuales con el fin de identificar tendencias y áreas de mejora </t>
  </si>
  <si>
    <t>Herramientas para e-business</t>
  </si>
  <si>
    <t xml:space="preserve">diseña soluciones de sistemas de información geográfica (GIS) y de inteligencia de negocios (BI) utilizando software especializado con el fin de optimizar la visualización y análisis de datos estratégicos </t>
  </si>
  <si>
    <t>Desafíos en e-business</t>
  </si>
  <si>
    <t>Futuro del e-business</t>
  </si>
  <si>
    <t>Problemas éticos y sociales en sistemas</t>
  </si>
  <si>
    <t>Definición de problemas éticos</t>
  </si>
  <si>
    <t>Ejemplos de problemas éticos</t>
  </si>
  <si>
    <t>Impacto social de las TIC</t>
  </si>
  <si>
    <t>Casos de estudio</t>
  </si>
  <si>
    <t>Desafíos éticos en la implementación</t>
  </si>
  <si>
    <t>Futuro de la ética en TIC</t>
  </si>
  <si>
    <t>Conclusiones sobre problemas éticos</t>
  </si>
  <si>
    <t>abril</t>
  </si>
  <si>
    <t>Clases de sistemas de información</t>
  </si>
  <si>
    <t>Sistemas funcionales</t>
  </si>
  <si>
    <t>ERP</t>
  </si>
  <si>
    <t>SCM</t>
  </si>
  <si>
    <t>CRM</t>
  </si>
  <si>
    <t>Sistemas distribuidos</t>
  </si>
  <si>
    <t>GIS</t>
  </si>
  <si>
    <t>Conclusiones sobre clases de sistemas</t>
  </si>
  <si>
    <t>Integración de sistemas</t>
  </si>
  <si>
    <t>Definición de integración</t>
  </si>
  <si>
    <t>Beneficios de la integración</t>
  </si>
  <si>
    <t>Ejemplos de integración</t>
  </si>
  <si>
    <t>Herramientas de integración</t>
  </si>
  <si>
    <t>Impacto en la eficiencia organizacional</t>
  </si>
  <si>
    <t>Futuro de la integración</t>
  </si>
  <si>
    <t xml:space="preserve">implementa sistemas de información organizacionales utilizando tecnologías de información y comunicación con el fin de apoyar la transformación digital y la toma de decisiones estratégicas en la empresa </t>
  </si>
  <si>
    <t>Arquitectura de sistemas</t>
  </si>
  <si>
    <t>Definición de arquitectura de sistemas</t>
  </si>
  <si>
    <t>Tipos de arquitectura</t>
  </si>
  <si>
    <t>Ejemplos de arquitecturas</t>
  </si>
  <si>
    <t>Herramientas para arquitecturas</t>
  </si>
  <si>
    <t>Futuro de la arquitectura de sistemas</t>
  </si>
  <si>
    <t>Conclusiones sobre arquitectura</t>
  </si>
  <si>
    <t>El ciclo de vida de un sistema</t>
  </si>
  <si>
    <t>Definición del ciclo de vida</t>
  </si>
  <si>
    <t>Etapas del ciclo de vida</t>
  </si>
  <si>
    <t>Herramientas para el ciclo de vida</t>
  </si>
  <si>
    <t>Importancia del ciclo de vida</t>
  </si>
  <si>
    <t>mayo</t>
  </si>
  <si>
    <t>Ejemplos de aplicación</t>
  </si>
  <si>
    <t>Desafíos en el ciclo de vida</t>
  </si>
  <si>
    <t>Futuro del ciclo de vida</t>
  </si>
  <si>
    <t>E-learning</t>
  </si>
  <si>
    <t>Definición de e-learning</t>
  </si>
  <si>
    <t>Ventajas del e-learning</t>
  </si>
  <si>
    <t>Desafíos del e-learning</t>
  </si>
  <si>
    <t>Herramientas para e-learning</t>
  </si>
  <si>
    <t>Futuro del e-learning</t>
  </si>
  <si>
    <t>Conclusiones sobre e-learning</t>
  </si>
  <si>
    <t>Gamificación en educación</t>
  </si>
  <si>
    <t>Definición de plataformas educativas</t>
  </si>
  <si>
    <t>Ejemplos de plataformas educativas</t>
  </si>
  <si>
    <t>Ventajas de las plataformas</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</si>
  <si>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</si>
  <si>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</si>
  <si>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</si>
  <si>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</si>
  <si>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10 min</t>
  </si>
  <si>
    <t>No puedes excederte mas de 15 minutos</t>
  </si>
  <si>
    <t xml:space="preserve">Nombre y Formacion Academica </t>
  </si>
  <si>
    <t>Presentacion de mi persona y formacion academica</t>
  </si>
  <si>
    <t xml:space="preserve">Experiencia docente y profecional </t>
  </si>
  <si>
    <t>Presentacion CV</t>
  </si>
  <si>
    <t>Rol del auxiliar dentro del curso (funciones, actividades y apoyo a los estudiantes).</t>
  </si>
  <si>
    <t>Ayuda por medio oficiales (UEDI y DTT)</t>
  </si>
  <si>
    <t>Expectativas sobre la dinámica del curso</t>
  </si>
  <si>
    <t>puntualidad, respeto, participación, trabajo colaborativo.</t>
  </si>
  <si>
    <t xml:space="preserve">Tiempo que emplearas </t>
  </si>
  <si>
    <t>10 min aproximadamente</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</si>
  <si>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</si>
  <si>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</si>
  <si>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</si>
  <si>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</si>
  <si>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Examen de Conocimientos Previos (Tomando en cuenta pre-requisito AYD1) 
(VF) Un sistema de información (SI) integra personas, procesos y tecnología para apoyar decisiones. R: Verdadero.
(Opción múltiple) Dato vs. Información: la información es… R: Datos procesados con contexto.
(VF) Un ERP integra finanzas, inventario, compras y RR. HH. R: Verdadero.
(VF) Un CRM se centra en optimizar la relación con clientes. R: Verdadero.
(VF) Un SCM gestiona la cadena de suministro extremo a extremo. R: Verdadero.
(Opción múltiple) Ejemplo de CRM: R: Seguimiento de oportunidades/embudo de ventas.
(Opción múltiple) Ejemplo de ERP: R: Consolidación contable y control de inventarios.
(VF) Business Analytics = reportes operativos únicamente. R: Falso (incluye análisis descriptivo, diagnóstico y predictivo).
(Opción múltiple) En BA, un dashboard sirve para… R: Monitoreo visual de KPIs.
(VF) Un caso de uso describe interacción actor–sistema para lograr un objetivo. R: Verdadero.
(Opción múltiple) Arquitectura de sistemas trata de… R: Componentes, interacciones y despliegue.
(VF) Gestión del conocimiento busca capturar, compartir y reutilizar know-how. R: Verdadero.
(VF) Ética digital: privacidad y uso responsable de datos. R: Verdadero.
(Opción múltiple) Ejemplo de integración: R: ERP + CRM via middleware/API.
(VF) E-business = solo tienda en línea. R: Falso (incluye procesos y colaboración digital).</t>
  </si>
  <si>
    <t>Redactaras una parte practica</t>
  </si>
  <si>
    <t>Actividad “flash”: Clasifica 6 escenarios en ERP/CRM/SCM.
Ej. “Seguimiento de tickets postventa” → CRM; “MRP y órdenes de compra” → ERP; “Ruteo de transporte” → SCM.</t>
  </si>
  <si>
    <t>30 min</t>
  </si>
  <si>
    <t xml:space="preserve">3. Presentación de los Estudiantes                                </t>
  </si>
  <si>
    <t xml:space="preserve">No puedes excederte mas de 30 minutos </t>
  </si>
  <si>
    <t>Seleccion al Azar de 5 Estudiantes</t>
  </si>
  <si>
    <t>Metodología de selección al azar: “Wheel of Names” o =RAND() en Google Sheets y ordenar por número.</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</si>
  <si>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</si>
  <si>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</si>
  <si>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1) Nombre. 2) Intereses/expectativas. 3) Experiencia previa (si aplica). 4) Un dato curioso. 5) ¿La prueba diagnóstica estuvo acorde a lo visto antes? 6) ¿Qué tan cómodo se sintió?</t>
  </si>
  <si>
    <t>20 min</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</si>
  <si>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</si>
  <si>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</si>
  <si>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</si>
  <si>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</si>
  <si>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https://forms.gle/MiGe8eBJiyxmu8yH6</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</si>
  <si>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</si>
  <si>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</si>
  <si>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Sabado de 7:00 am - 1:00 pm y Sabado de 12:00 pm - 5:00 pm</t>
  </si>
  <si>
    <t>5 min</t>
  </si>
  <si>
    <t xml:space="preserve">4.  Mostrar Programa del Curso                 </t>
  </si>
  <si>
    <t>No puedes excederte mas de 30 minutos</t>
  </si>
  <si>
    <t xml:space="preserve">2. Evaluación de Conocimientos del Curso Actual                                  </t>
  </si>
  <si>
    <t xml:space="preserve">Redactaras 20 preguntas con sus respectivas respuestas </t>
  </si>
  <si>
    <t>(VF) La evolución de los SI muestra mayor integración y analítica en las empresas. R: V.
(OM) Un sistema funcional típico es: R: Finanzas, ventas o RR. HH.
(VF) Un GIS se usa para analizar datos espaciales. R: V.
(OM) Business Analytics apoya la toma de decisiones R: Con KPIs y análisis descriptivo/diagnóstico/predictivo.
(VF) Gestión del conocimiento depende solo de herramientas. R: F (también procesos y cultura).
(OM) Papel estratégico de las TIC: R: Habilitar ventaja competitiva y eficiencia.
(VF) Global e-business implica colaboración con socios digitales. R: V.
(VF) Problemas éticos: sesgos algorítmicos y privacidad de datos. R: V.
(OM) Clases de SI: R: ERP, CRM, SCM, GIS, DSS, etc.
(VF) La integración de sistemas reduce redundancia y mejora datos maestros. R: V.
(OM) Arquitectura de sistemas: R: Capas/componentes y sus interacciones.
(VF) El ciclo de vida de sistemas incluye análisis, diseño, implementación, operación. R: V.
(OM) E-learning en empresas apoya… R: Formación continua y onboarding.
(VF) Gamificación busca aumentar motivación mediante mecánicas de juego. R: V.
(OM) Un KPI bien definido es… R: Medible, relevante y con meta temporal.
(VF) Un dashboard efectivo debe alinear métricas con objetivos. R: V.
(OM) Caso de uso vs user story: R: Caso de uso = interacción detallada; historia = necesidad corta.
(VF) SCM coordina abastecimiento, producción y distribución. R: V.
(OM) Riesgo habitual en integración: R: Silos de datos y falta de gobierno.
(VF) Comunicación efectiva es clave para alinear áreas de negocio y TI. R: V.</t>
  </si>
  <si>
    <t>15 min</t>
  </si>
  <si>
    <t>Diseño de la Sesión de Laboratorio</t>
  </si>
  <si>
    <t>Ponderación</t>
  </si>
  <si>
    <t>Validación de Tiempo</t>
  </si>
  <si>
    <t>1. Área Actitudinal (Saber Ser)</t>
  </si>
  <si>
    <t>Tiene que estar en un rango de 3 a 5 minutos</t>
  </si>
  <si>
    <t>Nombre del Valor</t>
  </si>
  <si>
    <t>Responsabilidad</t>
  </si>
  <si>
    <t>Descripcion</t>
  </si>
  <si>
    <t>Cumplir con deberes y compromisos.</t>
  </si>
  <si>
    <t>Como se relaciona con los conocimientos de la sesion y se aplicaria</t>
  </si>
  <si>
    <t>Cumplir con deberes y compromisos que se dejan en el curso</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</si>
  <si>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</si>
  <si>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</si>
  <si>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</si>
  <si>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</si>
  <si>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</si>
  <si>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</si>
  <si>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</si>
  <si>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</si>
  <si>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</si>
  <si>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</si>
  <si>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</si>
  <si>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</si>
  <si>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</si>
  <si>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5 a 10 minutos</t>
  </si>
  <si>
    <t>Video</t>
  </si>
  <si>
    <t>3 a 6 minutos</t>
  </si>
  <si>
    <t>Lectura</t>
  </si>
  <si>
    <t>Optativo</t>
  </si>
  <si>
    <t>25 minutos</t>
  </si>
  <si>
    <t>Ejercicio Demostrativo</t>
  </si>
  <si>
    <t>15 minutos</t>
  </si>
  <si>
    <t>3. Área de Habilidades (Saber Hacer)</t>
  </si>
  <si>
    <t>Tiene que estar en un rango de 30 a 50 minutos</t>
  </si>
  <si>
    <t>Actividad 1 (Obligatoria)</t>
  </si>
  <si>
    <t>Competencia que predomina en la actividad</t>
  </si>
  <si>
    <t>Tipo de Actividad</t>
  </si>
  <si>
    <t>Ejercicio practico</t>
  </si>
  <si>
    <t>Coloca el tiempo que usar en la actividad, un tiempo sugerido 30 minutos</t>
  </si>
  <si>
    <t>Descripcion de la Actividad</t>
  </si>
  <si>
    <t xml:space="preserve">Hoja de Trabajo 1 </t>
  </si>
  <si>
    <t>Actividad 2 (Optativa puedes hacerla si lo consideras apropiado)</t>
  </si>
  <si>
    <t>Coloca el tiempo que usar en la actividad, un tiempo sugerido 20 minutos</t>
  </si>
  <si>
    <t>3. Cierre</t>
  </si>
  <si>
    <t>Tiene que estar en un rango de 10 a 15 minutos</t>
  </si>
  <si>
    <t>Asignacion de Actividades</t>
  </si>
  <si>
    <t>Tiempo de resolución de dudas</t>
  </si>
  <si>
    <t>Resuelve alguna duda, asigna las actividades que deben realizar, dudas de proyectos, etc</t>
  </si>
  <si>
    <t xml:space="preserve">Respeto
</t>
  </si>
  <si>
    <t>Tratar a los demás con dignidad y cortesía.</t>
  </si>
  <si>
    <t>Tratar a los demás con dignidad y cortesía , genera una cultura de respeto y de una mejor manera para poder organizar grupos.</t>
  </si>
  <si>
    <t>otros</t>
  </si>
  <si>
    <t>Lectura De Clase Para que Pongan en practica la Teoria</t>
  </si>
  <si>
    <t>Perseverancia</t>
  </si>
  <si>
    <t>Valor: Mantenerse constante ante los retos.</t>
  </si>
  <si>
    <t>Al ser perseverante se puede lograr terminar el curso con una nota aprobatoria</t>
  </si>
  <si>
    <t>Honestidad</t>
  </si>
  <si>
    <t xml:space="preserve">Valor: Actuar con verdad y coherencia.
</t>
  </si>
  <si>
    <t>Al actuar de forma honesta se puede integrar a la parte de la cultura organizacional para tomar el ejemplo</t>
  </si>
  <si>
    <t>Innovación</t>
  </si>
  <si>
    <t xml:space="preserve"> Fomentar la capacidad de adaptarse a los cambios tecnológicos y proponer soluciones creativas en un entorno empresarial global.</t>
  </si>
  <si>
    <t>Mejorar las ideas de los estudiantes y los temas revolucion en el mercado</t>
  </si>
  <si>
    <t>Cuestionario</t>
  </si>
  <si>
    <t>Cuestionario de la clase</t>
  </si>
  <si>
    <t>responder dudas</t>
  </si>
  <si>
    <t>Promover la responsabilidad como valor clave al participar en entornos digitales y colaborativos, asumiendo compromisos éticos, profesionales y sociales al implementar o usar tecnologías en los negocios.</t>
  </si>
  <si>
    <t>se relaciona con los conocimientos de la sesión al implicar un compromiso ético en el diseño, implementación y uso de sistemas TIC. Se aplica al asegurar que los profesionales tomen decisiones informadas y conscientes sobre el impacto de los ERP, SCM, CRM y otros sistemas en la sociedad.</t>
  </si>
  <si>
    <t>10 a 15</t>
  </si>
  <si>
    <t>Cuestionario sobre la clase</t>
  </si>
  <si>
    <t xml:space="preserve">Responder dudas </t>
  </si>
  <si>
    <t>Integriadad</t>
  </si>
  <si>
    <t>Fomentar la integridad como principio clave en el uso, diseño e implementación de tecnologías, promoviendo la honestidad, la ética profesional y la coherencia entre valores y acciones en el ámbito digital.</t>
  </si>
  <si>
    <t>se relaciona con los conocimientos de la sesión al destacar la importancia de mantener la coherencia y confiabilidad de los datos y procesos en la integración de sistemas. Se aplica garantizando que las soluciones integradas funcionen de manera transparente, segura y sin comprometer la veracidad de la información.</t>
  </si>
  <si>
    <t>cuestionario sobre la clase</t>
  </si>
  <si>
    <t>Resolucion de dudad proyecto</t>
  </si>
  <si>
    <t>Eficiencia</t>
  </si>
  <si>
    <t>Promover la eficiencia como valor esencial al diseñar, integrar y utilizar sistemas de información, buscando siempre optimizar recursos, procesos y resultados dentro de una organización</t>
  </si>
  <si>
    <t>Eficiencia se relaciona con los conocimientos de la sesión al enfocarse en cómo una buena arquitectura de sistemas y una gestión adecuada del ciclo de vida optimizan recursos y procesos. Se aplica al diseñar sistemas que mejoren el rendimiento organizacional con menor esfuerzo y mayor efectividad.</t>
  </si>
  <si>
    <t>Responder dudas sobre la clase o proyecto</t>
  </si>
  <si>
    <t>Planificación</t>
  </si>
  <si>
    <t>Fomentar la planificación como valor clave para desarrollar, mantener y evolucionar sistemas de información de forma ordenada, sostenible y alineada con los objetivos de la organización.</t>
  </si>
  <si>
    <t>Se relaciona al aplicar el ciclo de vida en la planificación y aprovechar el e-learning como apoyo en los procesos educativos y tecnológicos.</t>
  </si>
  <si>
    <t>Resolver dudas de proyecto</t>
  </si>
  <si>
    <t>Compromiso</t>
  </si>
  <si>
    <t>Fomentar el compromiso como valor esencial en entornos educativos digitales, donde la motivación, la constancia y la participación activa son claves para el aprendizaje efectivo</t>
  </si>
  <si>
    <t>El compromiso consiste en aplicar lo aprendido sobre e-learning y gamificación, aprovechando sus ventajas y herramientas para mejorar la enseñanza y mantener la motivación en los procesos educativos.</t>
  </si>
  <si>
    <t>Proyectos</t>
  </si>
  <si>
    <t>La sumatoria de los puntos de los proyectos debe superar el  70% del total de la nota, no puede ser un 100%</t>
  </si>
  <si>
    <t>1. Primer Proyecto</t>
  </si>
  <si>
    <t>Horas para realizarlo</t>
  </si>
  <si>
    <t>Titulo</t>
  </si>
  <si>
    <t>E-Commerce Fase 1</t>
  </si>
  <si>
    <t>Qué tecnologías, lenguajes de programación, plataformas, hardware o software se utilizaran</t>
  </si>
  <si>
    <t xml:space="preserve">Sistemas ERP permitidos:
● Odoo
● ERPNext
● Dolibarr
Sistemas CRM permitidos:
● Zoho CRM
● Odoo CRM
● SuiteCRM
● HubSpot CRM
Tecnologías adicionales:
● Herramientas de inteligencia de negocios (BI) (Power bi)
● Plataformas de desarrollo web
● Sistemas de gestión de bases de datos (SQL , MYSQL)
</t>
  </si>
  <si>
    <t>Descripción de lo que se realizara</t>
  </si>
  <si>
    <t>Fase 1: Análisis y Planificación (Semanas 1-4) Ponderacion: 20 Puntos
1. Investigación y Diagnóstico: Realizar análisis completo de la situación
organizacional, mercado objetivo y competencia
2. Definición de Objetivos: Establecer objetivos claros, cuantificables y medibles para
el proyecto
3. Planificación Estratégica: Desarrollar planes estratégicos, operativos y
direccionales para la implementación
4. Identificación del Proyecto: Definir alcance, beneficiarios, características y
actividades específicas</t>
  </si>
  <si>
    <t>2. Segundo Proyecto</t>
  </si>
  <si>
    <t>E-Commerce Fase 2</t>
  </si>
  <si>
    <t>Fase 2: Implementación Técnica (Semanas 5-8) Ponderacion: 20 Puntos
1. Selección e Instalación: Elegir y configurar los sistemas ERP y CRM más
adecuados
2. Configuración de Sistemas: Implementar módulos específicos según las
necesidades del proyecto
3. Desarrollo de Integración: Conectar los diferentes sistemas para garantizar flujo de
información
4. Implementación de Procesos: Establecer cadena de suministros, sistema de
cotizaciones y gestión de inventarios</t>
  </si>
  <si>
    <t>3. Tercer Proyecto</t>
  </si>
  <si>
    <t>Optativa</t>
  </si>
  <si>
    <t>E-Commerce Fase 3</t>
  </si>
  <si>
    <t xml:space="preserve">Fase 3: Finalización y Optimización (Semanas 9-12) Ponderacion: 20 Puntos
1. Desarrollo Web: Crear y conectar el sitio E-commerce con los sistemas
implementados
2. Implementación BI: Configurar herramientas de inteligencia de negocios y reportes
3. Pruebas y Optimización: Realizar pruebas exhaustivas de todos los sistemas
integrados
4. Documentación Final: Completar manuales de usuario y documentación técnica
</t>
  </si>
  <si>
    <t>Practicas</t>
  </si>
  <si>
    <t>La sumatoria de los puntos de los practicas debe no debe super el  20%</t>
  </si>
  <si>
    <t>1. Primera Practica</t>
  </si>
  <si>
    <t>Obligatoria</t>
  </si>
  <si>
    <t>Words, Excel, MySQL</t>
  </si>
  <si>
    <t>En esta práctica, el estudiante debe diseñar una base de datos relacional, revisar información histórica de ventas para estructurar reportes y comunicar los hallazgos mediante un informe ejecutivo. Se evalúa la capacidad de diseñar modelos de datos, interpretar resultados analíticos y presentar información de forma visual y ejecutiva clara.</t>
  </si>
  <si>
    <t>2. Segunda Practica</t>
  </si>
  <si>
    <t>Wix, Word</t>
  </si>
  <si>
    <t>En esta práctica, el estudiante debe integrar tecnologías digitales para crear una estrategia de adquisición de clientes, validar planes estratégicos mediante metodologías de planeación y comunicar su solución en un informe y mediante una landing page. Se evalúa la habilidad de diseñar estrategias digitales completas, construir ecosistemas tecnológicos y alinear objetivos empresariales.</t>
  </si>
  <si>
    <t>3. Tercera Practica</t>
  </si>
  <si>
    <t>En esta práctica, el estudiante debe integrar tecnologías de información para crear una plataforma de e-commerce innovadora, diseñar productos digitales estratégicos basados en un análisis exhaustivo del mercado y validar sus estrategias mediante herramientas de análisis competitivo (PEST, SWOT, Porter, etc.). Se evaluará la capacidad de plantear soluciones digitales reales, realizar investigación de mercado aplicada, estructurar propuestas comerciales efectivas y planificar un proyecto en sprints de desarrollo.</t>
  </si>
  <si>
    <t>4. Cuarta Practica</t>
  </si>
  <si>
    <t>5. Quinta Practica</t>
  </si>
  <si>
    <t>6. Sexta Practica</t>
  </si>
  <si>
    <t>7. Septima Practica</t>
  </si>
  <si>
    <t>Tareas</t>
  </si>
  <si>
    <t>La sumatoria de los puntos de los practicas debe no debe super el  20% de la nota</t>
  </si>
  <si>
    <t>1. Primera Tarea</t>
  </si>
  <si>
    <t>2. Segunda Tarea</t>
  </si>
  <si>
    <t>3. Tercera Tarea</t>
  </si>
  <si>
    <t>4. Cuarta Tarea</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</si>
  <si>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</si>
  <si>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</si>
  <si>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</si>
  <si>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</si>
  <si>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</si>
  <si>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</si>
  <si>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</si>
  <si>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</si>
  <si>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</si>
  <si>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</si>
  <si>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</si>
  <si>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</si>
  <si>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</si>
  <si>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Examen Final</t>
  </si>
  <si>
    <t>Total</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</si>
</sst>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u/>
      <color theme="1"/>
      <name val="Arial"/>
    </font>
    <font>
      <b/>
      <sz val="12.0"/>
      <color rgb="FFFF6D01"/>
      <name val="Arial"/>
    </font>
    <font>
      <b/>
      <sz val="12.0"/>
      <color rgb="FFFFFFFF"/>
      <name val="Arial"/>
    </font>
    <font>
      <color rgb="FFCCCCCC"/>
      <name val="Arial"/>
    </font>
    <font>
      <color rgb="FFD9D9D9"/>
      <name val="Arial"/>
    </font>
    <font>
      <b/>
      <sz val="12.0"/>
      <color theme="1"/>
      <name val="Arial"/>
    </font>
    <font>
      <sz val="12.0"/>
      <color theme="4"/>
      <name val="Arial"/>
    </font>
    <font>
      <sz val="12.0"/>
      <color rgb="FFFFFFFF"/>
      <name val="Arial"/>
    </font>
    <font>
      <sz val="12.0"/>
      <color theme="1"/>
      <name val="Arial"/>
    </font>
  </fonts>
  <fills count="10">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0" fillId="0" fontId="4" numFmtId="0" xfId="0" applyAlignment="1" applyFont="1">
      <alignment readingOrder="0" shrinkToFit="0" wrapText="1"/>
    </xf>
    <xf borderId="1" fillId="0" fontId="4" numFmtId="0" xfId="0" applyAlignment="1" applyBorder="1" applyFont="1">
      <alignment horizontal="center" vertical="bottom"/>
    </xf>
    <xf borderId="1" fillId="0" fontId="4" numFmtId="0" xfId="0" applyAlignment="1" applyBorder="1" applyFont="1">
      <alignment vertical="bottom"/>
    </xf>
    <xf borderId="0" fillId="0" fontId="4" numFmtId="0" xfId="0" applyAlignment="1" applyFont="1">
      <alignment readingOrder="0"/>
    </xf>
    <xf borderId="1" fillId="0" fontId="4" numFmtId="0" xfId="0" applyAlignment="1" applyBorder="1" applyFont="1">
      <alignment horizontal="center" vertical="bottom"/>
    </xf>
    <xf borderId="1" fillId="0" fontId="4" numFmtId="0" xfId="0" applyAlignment="1" applyBorder="1" applyFont="1">
      <alignment vertical="bottom"/>
    </xf>
    <xf borderId="1" fillId="3" fontId="4" numFmtId="0" xfId="0" applyAlignment="1" applyBorder="1" applyFill="1" applyFont="1">
      <alignment shrinkToFit="0" vertical="bottom" wrapText="1"/>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4" numFmtId="0" xfId="0" applyAlignment="1" applyFont="1">
      <alignment horizontal="center" shrinkToFit="0" vertical="center" wrapText="1"/>
    </xf>
    <xf borderId="0" fillId="0" fontId="9" numFmtId="0" xfId="0" applyFont="1"/>
    <xf borderId="0" fillId="0" fontId="10" numFmtId="0" xfId="0" applyAlignment="1" applyFont="1">
      <alignment shrinkToFit="0" wrapText="1"/>
    </xf>
    <xf borderId="0" fillId="4" fontId="1" numFmtId="0" xfId="0" applyAlignment="1" applyFill="1" applyFont="1">
      <alignment readingOrder="0"/>
    </xf>
    <xf borderId="0" fillId="0" fontId="11" numFmtId="0" xfId="0" applyFont="1"/>
    <xf borderId="1" fillId="5" fontId="4" numFmtId="0" xfId="0" applyAlignment="1" applyBorder="1" applyFill="1" applyFont="1">
      <alignment shrinkToFit="0" vertical="bottom" wrapText="1"/>
    </xf>
    <xf borderId="2" fillId="0" fontId="4" numFmtId="0" xfId="0" applyAlignment="1" applyBorder="1" applyFont="1">
      <alignment readingOrder="0" vertical="bottom"/>
    </xf>
    <xf borderId="1" fillId="5" fontId="4" numFmtId="0" xfId="0" applyAlignment="1" applyBorder="1" applyFont="1">
      <alignment shrinkToFit="0" wrapText="1"/>
    </xf>
    <xf borderId="2" fillId="0" fontId="4" numFmtId="0" xfId="0" applyAlignment="1" applyBorder="1" applyFont="1">
      <alignment readingOrder="0"/>
    </xf>
    <xf borderId="1" fillId="5" fontId="4" numFmtId="0" xfId="0" applyBorder="1" applyFont="1"/>
    <xf borderId="0" fillId="0" fontId="12" numFmtId="0" xfId="0" applyFont="1"/>
    <xf borderId="0" fillId="0" fontId="13" numFmtId="0" xfId="0" applyAlignment="1" applyFont="1">
      <alignment shrinkToFit="0" wrapText="1"/>
    </xf>
    <xf borderId="0" fillId="4" fontId="1" numFmtId="0" xfId="0" applyFont="1"/>
    <xf borderId="2" fillId="0" fontId="14" numFmtId="0" xfId="0" applyAlignment="1" applyBorder="1" applyFont="1">
      <alignment readingOrder="0" vertical="bottom"/>
    </xf>
    <xf borderId="0" fillId="0" fontId="15" numFmtId="0" xfId="0" applyFont="1"/>
    <xf borderId="2" fillId="6" fontId="4" numFmtId="0" xfId="0" applyAlignment="1" applyBorder="1" applyFill="1" applyFont="1">
      <alignment horizontal="center"/>
    </xf>
    <xf borderId="1" fillId="0" fontId="4" numFmtId="0" xfId="0" applyAlignment="1" applyBorder="1" applyFont="1">
      <alignment shrinkToFit="0" wrapText="1"/>
    </xf>
    <xf borderId="2" fillId="0" fontId="4" numFmtId="0" xfId="0" applyAlignment="1" applyBorder="1" applyFont="1">
      <alignment horizontal="center"/>
    </xf>
    <xf borderId="0" fillId="0" fontId="13" numFmtId="0" xfId="0" applyFont="1"/>
    <xf borderId="0" fillId="7" fontId="16" numFmtId="0" xfId="0" applyFill="1" applyFont="1"/>
    <xf borderId="2" fillId="5" fontId="4" numFmtId="0" xfId="0" applyBorder="1" applyFont="1"/>
    <xf borderId="5" fillId="0" fontId="4" numFmtId="0" xfId="0" applyAlignment="1" applyBorder="1" applyFont="1">
      <alignment readingOrder="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0" fillId="7" fontId="16" numFmtId="0" xfId="0" applyAlignment="1" applyFont="1">
      <alignment readingOrder="0"/>
    </xf>
    <xf borderId="0" fillId="0" fontId="10" numFmtId="0" xfId="0" applyFont="1"/>
    <xf borderId="1" fillId="8" fontId="4" numFmtId="0" xfId="0" applyBorder="1" applyFill="1" applyFont="1"/>
    <xf borderId="2" fillId="8" fontId="4" numFmtId="0" xfId="0" applyBorder="1" applyFont="1"/>
    <xf borderId="0" fillId="0" fontId="7" numFmtId="0" xfId="0" applyFont="1"/>
    <xf borderId="1" fillId="9" fontId="4" numFmtId="0" xfId="0" applyBorder="1" applyFill="1" applyFont="1"/>
    <xf borderId="2" fillId="9" fontId="4" numFmtId="0" xfId="0" applyBorder="1" applyFont="1"/>
    <xf borderId="1" fillId="0" fontId="4" numFmtId="0" xfId="0" applyAlignment="1" applyBorder="1" applyFont="1">
      <alignment readingOrder="0"/>
    </xf>
    <xf borderId="0" fillId="0" fontId="17" numFmtId="0" xfId="0" applyFont="1"/>
    <xf borderId="11" fillId="0" fontId="8" numFmtId="0" xfId="0" applyBorder="1" applyFont="1"/>
    <xf borderId="12" fillId="0" fontId="8" numFmtId="0" xfId="0" applyBorder="1" applyFont="1"/>
    <xf borderId="2" fillId="0" fontId="17" numFmtId="0" xfId="0" applyBorder="1" applyFont="1"/>
    <xf borderId="0" fillId="0" fontId="18" numFmtId="0" xfId="0" applyFont="1"/>
    <xf borderId="5" fillId="0" fontId="4" numFmtId="0" xfId="0" applyBorder="1" applyFont="1"/>
    <xf borderId="2" fillId="0" fontId="17" numFmtId="0" xfId="0" applyAlignment="1" applyBorder="1" applyFont="1">
      <alignment readingOrder="0"/>
    </xf>
    <xf borderId="1" fillId="0" fontId="7" numFmtId="0" xfId="0" applyBorder="1" applyFont="1"/>
    <xf borderId="2" fillId="0" fontId="7" numFmtId="0" xfId="0" applyBorder="1" applyFont="1"/>
    <xf borderId="1" fillId="8" fontId="4" numFmtId="0" xfId="0" applyAlignment="1" applyBorder="1" applyFont="1">
      <alignment vertical="bottom"/>
    </xf>
    <xf borderId="2" fillId="0" fontId="4" numFmtId="0" xfId="0" applyAlignment="1" applyBorder="1" applyFont="1">
      <alignment vertical="bottom"/>
    </xf>
    <xf borderId="2" fillId="5" fontId="4" numFmtId="0" xfId="0" applyAlignment="1" applyBorder="1" applyFont="1">
      <alignment vertical="bottom"/>
    </xf>
    <xf borderId="5" fillId="0" fontId="4" numFmtId="0" xfId="0" applyAlignment="1" applyBorder="1" applyFont="1">
      <alignment vertical="bottom"/>
    </xf>
    <xf borderId="5" fillId="0" fontId="4" numFmtId="0" xfId="0" applyAlignment="1" applyBorder="1" applyFont="1">
      <alignment readingOrder="0" vertical="bottom"/>
    </xf>
    <xf borderId="5" fillId="0" fontId="4" numFmtId="0" xfId="0" applyAlignment="1" applyBorder="1" applyFont="1">
      <alignment readingOrder="0" shrinkToFit="0" wrapText="1"/>
    </xf>
    <xf borderId="0" fillId="0" fontId="19" numFmtId="0" xfId="0" applyFont="1"/>
    <xf borderId="0" fillId="4" fontId="20" numFmtId="0" xfId="0" applyFont="1"/>
    <xf borderId="0" fillId="4" fontId="21" numFmtId="0" xfId="0" applyFont="1"/>
    <xf borderId="0" fillId="0" fontId="20" numFmtId="0" xfId="0" applyFont="1"/>
    <xf borderId="0" fillId="0" fontId="5" numFmtId="0" xfId="0" applyAlignment="1" applyFont="1">
      <alignment shrinkToFit="0" wrapText="1"/>
    </xf>
    <xf borderId="0" fillId="0" fontId="22" numFmtId="0" xfId="0" applyAlignment="1" applyFont="1">
      <alignment shrinkToFit="0" wrapText="1"/>
    </xf>
    <xf borderId="0" fillId="0" fontId="22" numFmtId="0" xfId="0" applyFont="1"/>
    <xf borderId="1" fillId="8" fontId="22" numFmtId="0" xfId="0" applyAlignment="1" applyBorder="1" applyFont="1">
      <alignment shrinkToFit="0" wrapText="1"/>
    </xf>
    <xf borderId="1" fillId="8" fontId="22" numFmtId="0" xfId="0" applyBorder="1" applyFont="1"/>
    <xf borderId="1" fillId="0" fontId="4" numFmtId="0" xfId="0" applyAlignment="1" applyBorder="1" applyFont="1">
      <alignment readingOrder="0" shrinkToFit="0" wrapText="1"/>
    </xf>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forms.gle/MiGe8eBJiyxmu8yH6"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6" max="6" width="33.75"/>
    <col customWidth="1" min="7" max="7" width="5.63"/>
  </cols>
  <sheetData>
    <row r="1" ht="15.75" customHeight="1"/>
    <row r="2" ht="15.75" customHeight="1">
      <c r="A2" s="1">
        <f>VALUE(LEFT(C4,FIND(" - ",C4)-1))</f>
        <v>786</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15.75" customHeight="1">
      <c r="B9" s="10">
        <v>1.0</v>
      </c>
      <c r="C9" s="11" t="s">
        <v>12</v>
      </c>
      <c r="D9" s="12">
        <v>1.0</v>
      </c>
      <c r="E9" s="13" t="s">
        <v>13</v>
      </c>
      <c r="F9" s="13" t="s">
        <v>14</v>
      </c>
      <c r="G9" s="14" t="s">
        <v>15</v>
      </c>
      <c r="H9" s="5">
        <v>2.0</v>
      </c>
    </row>
    <row r="10" ht="15.75" customHeight="1">
      <c r="B10" s="10">
        <v>2.0</v>
      </c>
      <c r="C10" s="11" t="s">
        <v>12</v>
      </c>
      <c r="D10" s="15">
        <v>1.0</v>
      </c>
      <c r="E10" s="16" t="s">
        <v>13</v>
      </c>
      <c r="F10" s="16" t="s">
        <v>16</v>
      </c>
      <c r="G10" s="14" t="s">
        <v>15</v>
      </c>
      <c r="H10" s="14">
        <v>2.0</v>
      </c>
    </row>
    <row r="11" ht="15.75" customHeight="1">
      <c r="B11" s="10">
        <v>3.0</v>
      </c>
      <c r="C11" s="11" t="s">
        <v>12</v>
      </c>
      <c r="D11" s="15">
        <v>1.0</v>
      </c>
      <c r="E11" s="16" t="s">
        <v>13</v>
      </c>
      <c r="F11" s="16" t="s">
        <v>17</v>
      </c>
      <c r="G11" s="14" t="s">
        <v>15</v>
      </c>
      <c r="H11" s="14">
        <v>2.0</v>
      </c>
    </row>
    <row r="12" ht="15.75" customHeight="1">
      <c r="B12" s="10">
        <v>4.0</v>
      </c>
      <c r="C12" s="11" t="s">
        <v>12</v>
      </c>
      <c r="D12" s="15">
        <v>1.0</v>
      </c>
      <c r="E12" s="16" t="s">
        <v>13</v>
      </c>
      <c r="F12" s="16" t="s">
        <v>18</v>
      </c>
      <c r="G12" s="14" t="s">
        <v>15</v>
      </c>
      <c r="H12" s="14">
        <v>2.0</v>
      </c>
    </row>
    <row r="13" ht="15.75" customHeight="1">
      <c r="B13" s="10">
        <v>5.0</v>
      </c>
      <c r="C13" s="11" t="s">
        <v>12</v>
      </c>
      <c r="D13" s="15">
        <v>1.0</v>
      </c>
      <c r="E13" s="16" t="s">
        <v>13</v>
      </c>
      <c r="F13" s="16" t="s">
        <v>19</v>
      </c>
      <c r="G13" s="14" t="s">
        <v>15</v>
      </c>
      <c r="H13" s="14">
        <v>2.0</v>
      </c>
    </row>
    <row r="14" ht="15.75" customHeight="1">
      <c r="B14" s="10">
        <v>6.0</v>
      </c>
      <c r="C14" s="11" t="s">
        <v>12</v>
      </c>
      <c r="D14" s="15">
        <v>1.0</v>
      </c>
      <c r="E14" s="16" t="s">
        <v>13</v>
      </c>
      <c r="F14" s="16" t="s">
        <v>20</v>
      </c>
      <c r="G14" s="14" t="s">
        <v>15</v>
      </c>
      <c r="H14" s="14">
        <v>2.0</v>
      </c>
    </row>
    <row r="15" ht="15.75" customHeight="1">
      <c r="B15" s="10">
        <v>7.0</v>
      </c>
      <c r="C15" s="11" t="s">
        <v>12</v>
      </c>
      <c r="D15" s="15">
        <v>1.0</v>
      </c>
      <c r="E15" s="16" t="s">
        <v>13</v>
      </c>
      <c r="F15" s="16" t="s">
        <v>21</v>
      </c>
      <c r="G15" s="14" t="s">
        <v>15</v>
      </c>
      <c r="H15" s="14">
        <v>2.0</v>
      </c>
    </row>
    <row r="16" ht="15.75" customHeight="1">
      <c r="B16" s="10">
        <v>8.0</v>
      </c>
      <c r="C16" s="11" t="s">
        <v>22</v>
      </c>
      <c r="D16" s="15">
        <v>1.0</v>
      </c>
      <c r="E16" s="16" t="s">
        <v>23</v>
      </c>
      <c r="F16" s="16" t="s">
        <v>24</v>
      </c>
      <c r="G16" s="14" t="s">
        <v>15</v>
      </c>
      <c r="H16" s="14">
        <v>2.0</v>
      </c>
    </row>
    <row r="17" ht="15.75" customHeight="1">
      <c r="B17" s="10">
        <v>9.0</v>
      </c>
      <c r="C17" s="11" t="s">
        <v>22</v>
      </c>
      <c r="D17" s="15">
        <v>1.0</v>
      </c>
      <c r="E17" s="16" t="s">
        <v>23</v>
      </c>
      <c r="F17" s="16" t="s">
        <v>25</v>
      </c>
      <c r="G17" s="14" t="s">
        <v>15</v>
      </c>
      <c r="H17" s="14">
        <v>2.0</v>
      </c>
    </row>
    <row r="18" ht="15.75" customHeight="1">
      <c r="B18" s="10">
        <v>10.0</v>
      </c>
      <c r="C18" s="11" t="s">
        <v>22</v>
      </c>
      <c r="D18" s="15">
        <v>1.0</v>
      </c>
      <c r="E18" s="16" t="s">
        <v>23</v>
      </c>
      <c r="F18" s="16" t="s">
        <v>26</v>
      </c>
      <c r="G18" s="14" t="s">
        <v>15</v>
      </c>
      <c r="H18" s="14">
        <v>3.0</v>
      </c>
    </row>
    <row r="19" ht="15.75" customHeight="1">
      <c r="B19" s="10">
        <v>11.0</v>
      </c>
      <c r="C19" s="11" t="s">
        <v>22</v>
      </c>
      <c r="D19" s="15">
        <v>1.0</v>
      </c>
      <c r="E19" s="16" t="s">
        <v>23</v>
      </c>
      <c r="F19" s="16" t="s">
        <v>27</v>
      </c>
      <c r="G19" s="14" t="s">
        <v>15</v>
      </c>
      <c r="H19" s="14">
        <v>3.0</v>
      </c>
    </row>
    <row r="20" ht="15.75" customHeight="1">
      <c r="B20" s="10">
        <v>12.0</v>
      </c>
      <c r="C20" s="11" t="s">
        <v>22</v>
      </c>
      <c r="D20" s="15">
        <v>1.0</v>
      </c>
      <c r="E20" s="16" t="s">
        <v>23</v>
      </c>
      <c r="F20" s="16" t="s">
        <v>28</v>
      </c>
      <c r="G20" s="14" t="s">
        <v>15</v>
      </c>
      <c r="H20" s="14">
        <v>3.0</v>
      </c>
    </row>
    <row r="21" ht="15.75" customHeight="1">
      <c r="B21" s="10">
        <v>13.0</v>
      </c>
      <c r="C21" s="11" t="s">
        <v>22</v>
      </c>
      <c r="D21" s="15">
        <v>1.0</v>
      </c>
      <c r="E21" s="16" t="s">
        <v>23</v>
      </c>
      <c r="F21" s="16" t="s">
        <v>29</v>
      </c>
      <c r="G21" s="14" t="s">
        <v>15</v>
      </c>
      <c r="H21" s="14">
        <v>3.0</v>
      </c>
    </row>
    <row r="22" ht="15.75" customHeight="1">
      <c r="B22" s="10">
        <v>14.0</v>
      </c>
      <c r="C22" s="11" t="s">
        <v>22</v>
      </c>
      <c r="D22" s="15">
        <v>1.0</v>
      </c>
      <c r="E22" s="16" t="s">
        <v>23</v>
      </c>
      <c r="F22" s="16" t="s">
        <v>30</v>
      </c>
      <c r="G22" s="14" t="s">
        <v>15</v>
      </c>
      <c r="H22" s="14">
        <v>3.0</v>
      </c>
    </row>
    <row r="23" ht="15.75" customHeight="1">
      <c r="B23" s="10">
        <v>15.0</v>
      </c>
      <c r="C23" s="11" t="s">
        <v>31</v>
      </c>
      <c r="D23" s="15">
        <v>1.0</v>
      </c>
      <c r="E23" s="16" t="s">
        <v>32</v>
      </c>
      <c r="F23" s="16" t="s">
        <v>33</v>
      </c>
      <c r="G23" s="14" t="s">
        <v>15</v>
      </c>
      <c r="H23" s="14">
        <v>3.0</v>
      </c>
    </row>
    <row r="24" ht="15.75" customHeight="1">
      <c r="B24" s="10">
        <v>16.0</v>
      </c>
      <c r="C24" s="11" t="s">
        <v>31</v>
      </c>
      <c r="D24" s="15">
        <v>1.0</v>
      </c>
      <c r="E24" s="16" t="s">
        <v>32</v>
      </c>
      <c r="F24" s="16" t="s">
        <v>34</v>
      </c>
      <c r="G24" s="14" t="s">
        <v>15</v>
      </c>
      <c r="H24" s="14">
        <v>3.0</v>
      </c>
    </row>
    <row r="25" ht="15.75" customHeight="1">
      <c r="B25" s="10">
        <v>17.0</v>
      </c>
      <c r="C25" s="11" t="s">
        <v>31</v>
      </c>
      <c r="D25" s="15">
        <v>1.0</v>
      </c>
      <c r="E25" s="16" t="s">
        <v>32</v>
      </c>
      <c r="F25" s="16" t="s">
        <v>35</v>
      </c>
      <c r="G25" s="14" t="s">
        <v>15</v>
      </c>
      <c r="H25" s="14">
        <v>4.0</v>
      </c>
    </row>
    <row r="26" ht="15.75" customHeight="1">
      <c r="B26" s="10">
        <v>18.0</v>
      </c>
      <c r="C26" s="11" t="s">
        <v>31</v>
      </c>
      <c r="D26" s="15">
        <v>1.0</v>
      </c>
      <c r="E26" s="16" t="s">
        <v>32</v>
      </c>
      <c r="F26" s="16" t="s">
        <v>36</v>
      </c>
      <c r="G26" s="14" t="s">
        <v>15</v>
      </c>
      <c r="H26" s="14">
        <v>4.0</v>
      </c>
    </row>
    <row r="27" ht="15.75" customHeight="1">
      <c r="B27" s="10">
        <v>19.0</v>
      </c>
      <c r="C27" s="11" t="s">
        <v>31</v>
      </c>
      <c r="D27" s="15">
        <v>1.0</v>
      </c>
      <c r="E27" s="16" t="s">
        <v>32</v>
      </c>
      <c r="F27" s="16" t="s">
        <v>37</v>
      </c>
      <c r="G27" s="14" t="s">
        <v>15</v>
      </c>
      <c r="H27" s="14">
        <v>4.0</v>
      </c>
    </row>
    <row r="28" ht="15.75" customHeight="1">
      <c r="B28" s="10">
        <v>20.0</v>
      </c>
      <c r="C28" s="11" t="s">
        <v>31</v>
      </c>
      <c r="D28" s="15">
        <v>1.0</v>
      </c>
      <c r="E28" s="16" t="s">
        <v>32</v>
      </c>
      <c r="F28" s="16" t="s">
        <v>38</v>
      </c>
      <c r="G28" s="14" t="s">
        <v>15</v>
      </c>
      <c r="H28" s="14">
        <v>4.0</v>
      </c>
    </row>
    <row r="29" ht="15.75" customHeight="1">
      <c r="B29" s="10">
        <v>21.0</v>
      </c>
      <c r="C29" s="11" t="s">
        <v>31</v>
      </c>
      <c r="D29" s="15">
        <v>1.0</v>
      </c>
      <c r="E29" s="16" t="s">
        <v>32</v>
      </c>
      <c r="F29" s="16" t="s">
        <v>39</v>
      </c>
      <c r="G29" s="14" t="s">
        <v>15</v>
      </c>
      <c r="H29" s="14">
        <v>4.0</v>
      </c>
    </row>
    <row r="30" ht="15.75" customHeight="1">
      <c r="B30" s="10">
        <v>22.0</v>
      </c>
      <c r="C30" s="11" t="s">
        <v>31</v>
      </c>
      <c r="D30" s="15">
        <v>1.0</v>
      </c>
      <c r="E30" s="16" t="s">
        <v>40</v>
      </c>
      <c r="F30" s="16" t="s">
        <v>41</v>
      </c>
      <c r="G30" s="14" t="s">
        <v>15</v>
      </c>
      <c r="H30" s="14">
        <v>4.0</v>
      </c>
    </row>
    <row r="31" ht="15.75" customHeight="1">
      <c r="B31" s="10">
        <v>23.0</v>
      </c>
      <c r="C31" s="11" t="s">
        <v>31</v>
      </c>
      <c r="D31" s="15">
        <v>1.0</v>
      </c>
      <c r="E31" s="16" t="s">
        <v>40</v>
      </c>
      <c r="F31" s="16" t="s">
        <v>42</v>
      </c>
      <c r="G31" s="14" t="s">
        <v>15</v>
      </c>
      <c r="H31" s="14">
        <v>4.0</v>
      </c>
    </row>
    <row r="32" ht="15.75" customHeight="1">
      <c r="B32" s="10">
        <v>24.0</v>
      </c>
      <c r="C32" s="11" t="s">
        <v>22</v>
      </c>
      <c r="D32" s="15">
        <v>1.0</v>
      </c>
      <c r="E32" s="16" t="s">
        <v>40</v>
      </c>
      <c r="F32" s="16" t="s">
        <v>43</v>
      </c>
      <c r="G32" s="14" t="s">
        <v>15</v>
      </c>
      <c r="H32" s="14">
        <v>5.0</v>
      </c>
    </row>
    <row r="33" ht="15.75" customHeight="1">
      <c r="B33" s="10">
        <v>25.0</v>
      </c>
      <c r="C33" s="11" t="s">
        <v>22</v>
      </c>
      <c r="D33" s="15">
        <v>1.0</v>
      </c>
      <c r="E33" s="16" t="s">
        <v>40</v>
      </c>
      <c r="F33" s="16" t="s">
        <v>29</v>
      </c>
      <c r="G33" s="14" t="s">
        <v>15</v>
      </c>
      <c r="H33" s="14">
        <v>5.0</v>
      </c>
    </row>
    <row r="34" ht="15.75" customHeight="1">
      <c r="B34" s="10">
        <v>26.0</v>
      </c>
      <c r="C34" s="11" t="s">
        <v>22</v>
      </c>
      <c r="D34" s="15">
        <v>1.0</v>
      </c>
      <c r="E34" s="16" t="s">
        <v>40</v>
      </c>
      <c r="F34" s="16" t="s">
        <v>44</v>
      </c>
      <c r="G34" s="14" t="s">
        <v>15</v>
      </c>
      <c r="H34" s="14">
        <v>5.0</v>
      </c>
    </row>
    <row r="35" ht="15.75" customHeight="1">
      <c r="B35" s="10">
        <v>27.0</v>
      </c>
      <c r="C35" s="11" t="s">
        <v>22</v>
      </c>
      <c r="D35" s="15">
        <v>1.0</v>
      </c>
      <c r="E35" s="16" t="s">
        <v>40</v>
      </c>
      <c r="F35" s="16" t="s">
        <v>30</v>
      </c>
      <c r="G35" s="14" t="s">
        <v>15</v>
      </c>
      <c r="H35" s="14">
        <v>5.0</v>
      </c>
    </row>
    <row r="36" ht="15.75" customHeight="1">
      <c r="B36" s="10">
        <v>28.0</v>
      </c>
      <c r="C36" s="11" t="s">
        <v>22</v>
      </c>
      <c r="D36" s="15">
        <v>1.0</v>
      </c>
      <c r="E36" s="16" t="s">
        <v>40</v>
      </c>
      <c r="F36" s="16" t="s">
        <v>45</v>
      </c>
      <c r="G36" s="14" t="s">
        <v>15</v>
      </c>
      <c r="H36" s="14">
        <v>5.0</v>
      </c>
    </row>
    <row r="37" ht="15.75" customHeight="1">
      <c r="B37" s="10">
        <v>29.0</v>
      </c>
      <c r="C37" s="11" t="s">
        <v>22</v>
      </c>
      <c r="D37" s="15">
        <v>2.0</v>
      </c>
      <c r="E37" s="16" t="s">
        <v>46</v>
      </c>
      <c r="F37" s="16" t="s">
        <v>47</v>
      </c>
      <c r="G37" s="14" t="s">
        <v>15</v>
      </c>
      <c r="H37" s="14">
        <v>5.0</v>
      </c>
    </row>
    <row r="38" ht="15.75" customHeight="1">
      <c r="B38" s="10">
        <v>30.0</v>
      </c>
      <c r="C38" s="11" t="s">
        <v>22</v>
      </c>
      <c r="D38" s="15">
        <v>2.0</v>
      </c>
      <c r="E38" s="16" t="s">
        <v>46</v>
      </c>
      <c r="F38" s="16" t="s">
        <v>48</v>
      </c>
      <c r="G38" s="14" t="s">
        <v>15</v>
      </c>
      <c r="H38" s="14">
        <v>6.0</v>
      </c>
    </row>
    <row r="39" ht="15.75" customHeight="1">
      <c r="B39" s="10">
        <v>31.0</v>
      </c>
      <c r="C39" s="11" t="s">
        <v>12</v>
      </c>
      <c r="D39" s="15">
        <v>2.0</v>
      </c>
      <c r="E39" s="16" t="s">
        <v>46</v>
      </c>
      <c r="F39" s="16" t="s">
        <v>49</v>
      </c>
      <c r="G39" s="14" t="s">
        <v>15</v>
      </c>
      <c r="H39" s="14">
        <v>6.0</v>
      </c>
    </row>
    <row r="40" ht="15.75" customHeight="1">
      <c r="B40" s="10">
        <v>32.0</v>
      </c>
      <c r="C40" s="11" t="s">
        <v>12</v>
      </c>
      <c r="D40" s="15">
        <v>2.0</v>
      </c>
      <c r="E40" s="16" t="s">
        <v>46</v>
      </c>
      <c r="F40" s="16" t="s">
        <v>18</v>
      </c>
      <c r="G40" s="10" t="s">
        <v>50</v>
      </c>
      <c r="H40" s="14">
        <v>6.0</v>
      </c>
    </row>
    <row r="41" ht="15.75" customHeight="1">
      <c r="B41" s="10">
        <v>33.0</v>
      </c>
      <c r="C41" s="11" t="s">
        <v>12</v>
      </c>
      <c r="D41" s="15">
        <v>2.0</v>
      </c>
      <c r="E41" s="16" t="s">
        <v>46</v>
      </c>
      <c r="F41" s="16" t="s">
        <v>19</v>
      </c>
      <c r="G41" s="10" t="s">
        <v>50</v>
      </c>
      <c r="H41" s="14">
        <v>6.0</v>
      </c>
    </row>
    <row r="42" ht="15.75" customHeight="1">
      <c r="B42" s="10">
        <v>34.0</v>
      </c>
      <c r="C42" s="11" t="s">
        <v>12</v>
      </c>
      <c r="D42" s="15">
        <v>2.0</v>
      </c>
      <c r="E42" s="16" t="s">
        <v>46</v>
      </c>
      <c r="F42" s="16" t="s">
        <v>51</v>
      </c>
      <c r="G42" s="10" t="s">
        <v>50</v>
      </c>
      <c r="H42" s="14">
        <v>6.0</v>
      </c>
    </row>
    <row r="43" ht="15.75" customHeight="1">
      <c r="B43" s="10">
        <v>35.0</v>
      </c>
      <c r="C43" s="11" t="s">
        <v>12</v>
      </c>
      <c r="D43" s="15">
        <v>2.0</v>
      </c>
      <c r="E43" s="16" t="s">
        <v>46</v>
      </c>
      <c r="F43" s="16" t="s">
        <v>52</v>
      </c>
      <c r="G43" s="10" t="s">
        <v>50</v>
      </c>
      <c r="H43" s="14">
        <v>6.0</v>
      </c>
    </row>
    <row r="44" ht="15.75" customHeight="1">
      <c r="B44" s="10">
        <v>36.0</v>
      </c>
      <c r="C44" s="11" t="s">
        <v>12</v>
      </c>
      <c r="D44" s="15">
        <v>2.0</v>
      </c>
      <c r="E44" s="17" t="s">
        <v>53</v>
      </c>
      <c r="F44" s="16" t="s">
        <v>54</v>
      </c>
      <c r="G44" s="10" t="s">
        <v>50</v>
      </c>
      <c r="H44" s="14">
        <v>6.0</v>
      </c>
    </row>
    <row r="45" ht="15.75" customHeight="1">
      <c r="B45" s="10">
        <v>37.0</v>
      </c>
      <c r="C45" s="11" t="s">
        <v>55</v>
      </c>
      <c r="D45" s="15">
        <v>2.0</v>
      </c>
      <c r="E45" s="17" t="s">
        <v>53</v>
      </c>
      <c r="F45" s="16" t="s">
        <v>56</v>
      </c>
      <c r="G45" s="10" t="s">
        <v>50</v>
      </c>
      <c r="H45" s="14">
        <v>7.0</v>
      </c>
    </row>
    <row r="46" ht="15.75" customHeight="1">
      <c r="B46" s="10">
        <v>38.0</v>
      </c>
      <c r="C46" s="11" t="s">
        <v>55</v>
      </c>
      <c r="D46" s="15">
        <v>2.0</v>
      </c>
      <c r="E46" s="17" t="s">
        <v>53</v>
      </c>
      <c r="F46" s="16" t="s">
        <v>57</v>
      </c>
      <c r="G46" s="10" t="s">
        <v>50</v>
      </c>
      <c r="H46" s="14">
        <v>7.0</v>
      </c>
    </row>
    <row r="47" ht="15.75" customHeight="1">
      <c r="B47" s="10">
        <v>39.0</v>
      </c>
      <c r="C47" s="11" t="s">
        <v>55</v>
      </c>
      <c r="D47" s="15">
        <v>2.0</v>
      </c>
      <c r="E47" s="17" t="s">
        <v>53</v>
      </c>
      <c r="F47" s="16" t="s">
        <v>58</v>
      </c>
      <c r="G47" s="10" t="s">
        <v>50</v>
      </c>
      <c r="H47" s="14">
        <v>7.0</v>
      </c>
    </row>
    <row r="48" ht="15.75" customHeight="1">
      <c r="B48" s="10">
        <v>40.0</v>
      </c>
      <c r="C48" s="11" t="s">
        <v>55</v>
      </c>
      <c r="D48" s="15">
        <v>2.0</v>
      </c>
      <c r="E48" s="17" t="s">
        <v>53</v>
      </c>
      <c r="F48" s="16" t="s">
        <v>43</v>
      </c>
      <c r="G48" s="10" t="s">
        <v>50</v>
      </c>
      <c r="H48" s="14">
        <v>7.0</v>
      </c>
    </row>
    <row r="49" ht="15.75" customHeight="1">
      <c r="B49" s="10">
        <v>41.0</v>
      </c>
      <c r="C49" s="11" t="s">
        <v>55</v>
      </c>
      <c r="D49" s="15">
        <v>2.0</v>
      </c>
      <c r="E49" s="17" t="s">
        <v>53</v>
      </c>
      <c r="F49" s="16" t="s">
        <v>59</v>
      </c>
      <c r="G49" s="10" t="s">
        <v>50</v>
      </c>
      <c r="H49" s="14">
        <v>7.0</v>
      </c>
    </row>
    <row r="50" ht="15.75" customHeight="1">
      <c r="B50" s="10">
        <v>42.0</v>
      </c>
      <c r="C50" s="11" t="s">
        <v>55</v>
      </c>
      <c r="D50" s="15">
        <v>2.0</v>
      </c>
      <c r="E50" s="17" t="s">
        <v>53</v>
      </c>
      <c r="F50" s="16" t="s">
        <v>60</v>
      </c>
      <c r="G50" s="10" t="s">
        <v>50</v>
      </c>
      <c r="H50" s="14">
        <v>7.0</v>
      </c>
    </row>
    <row r="51" ht="15.75" customHeight="1">
      <c r="B51" s="10">
        <v>43.0</v>
      </c>
      <c r="C51" s="11" t="s">
        <v>55</v>
      </c>
      <c r="D51" s="15">
        <v>2.0</v>
      </c>
      <c r="E51" s="16" t="s">
        <v>61</v>
      </c>
      <c r="F51" s="16" t="s">
        <v>62</v>
      </c>
      <c r="G51" s="10" t="s">
        <v>50</v>
      </c>
      <c r="H51" s="14">
        <v>7.0</v>
      </c>
    </row>
    <row r="52" ht="15.75" customHeight="1">
      <c r="B52" s="10">
        <v>44.0</v>
      </c>
      <c r="C52" s="11" t="s">
        <v>55</v>
      </c>
      <c r="D52" s="15">
        <v>2.0</v>
      </c>
      <c r="E52" s="16" t="s">
        <v>61</v>
      </c>
      <c r="F52" s="16" t="s">
        <v>63</v>
      </c>
      <c r="G52" s="10" t="s">
        <v>50</v>
      </c>
      <c r="H52" s="14">
        <v>8.0</v>
      </c>
    </row>
    <row r="53" ht="15.75" customHeight="1">
      <c r="B53" s="10">
        <v>45.0</v>
      </c>
      <c r="C53" s="11" t="s">
        <v>55</v>
      </c>
      <c r="D53" s="15">
        <v>2.0</v>
      </c>
      <c r="E53" s="16" t="s">
        <v>61</v>
      </c>
      <c r="F53" s="16" t="s">
        <v>64</v>
      </c>
      <c r="G53" s="10" t="s">
        <v>50</v>
      </c>
      <c r="H53" s="14">
        <v>8.0</v>
      </c>
    </row>
    <row r="54" ht="15.75" customHeight="1">
      <c r="B54" s="10">
        <v>46.0</v>
      </c>
      <c r="C54" s="11" t="s">
        <v>65</v>
      </c>
      <c r="D54" s="15">
        <v>2.0</v>
      </c>
      <c r="E54" s="16" t="s">
        <v>61</v>
      </c>
      <c r="F54" s="16" t="s">
        <v>66</v>
      </c>
      <c r="G54" s="10" t="s">
        <v>50</v>
      </c>
      <c r="H54" s="14">
        <v>8.0</v>
      </c>
    </row>
    <row r="55" ht="15.75" customHeight="1">
      <c r="B55" s="10">
        <v>47.0</v>
      </c>
      <c r="C55" s="11" t="s">
        <v>65</v>
      </c>
      <c r="D55" s="15">
        <v>2.0</v>
      </c>
      <c r="E55" s="16" t="s">
        <v>61</v>
      </c>
      <c r="F55" s="16" t="s">
        <v>37</v>
      </c>
      <c r="G55" s="10" t="s">
        <v>50</v>
      </c>
      <c r="H55" s="14">
        <v>8.0</v>
      </c>
    </row>
    <row r="56" ht="15.75" customHeight="1">
      <c r="B56" s="10">
        <v>48.0</v>
      </c>
      <c r="C56" s="11" t="s">
        <v>67</v>
      </c>
      <c r="D56" s="15">
        <v>2.0</v>
      </c>
      <c r="E56" s="16" t="s">
        <v>61</v>
      </c>
      <c r="F56" s="16" t="s">
        <v>68</v>
      </c>
      <c r="G56" s="10" t="s">
        <v>50</v>
      </c>
      <c r="H56" s="14">
        <v>8.0</v>
      </c>
    </row>
    <row r="57" ht="15.75" customHeight="1">
      <c r="B57" s="10">
        <v>49.0</v>
      </c>
      <c r="C57" s="11" t="s">
        <v>65</v>
      </c>
      <c r="D57" s="15">
        <v>2.0</v>
      </c>
      <c r="E57" s="16" t="s">
        <v>61</v>
      </c>
      <c r="F57" s="16" t="s">
        <v>69</v>
      </c>
      <c r="G57" s="10" t="s">
        <v>50</v>
      </c>
      <c r="H57" s="14">
        <v>8.0</v>
      </c>
    </row>
    <row r="58" ht="15.75" customHeight="1">
      <c r="B58" s="10">
        <v>50.0</v>
      </c>
      <c r="C58" s="11" t="s">
        <v>55</v>
      </c>
      <c r="D58" s="15">
        <v>2.0</v>
      </c>
      <c r="E58" s="16" t="s">
        <v>70</v>
      </c>
      <c r="F58" s="16" t="s">
        <v>71</v>
      </c>
      <c r="G58" s="10" t="s">
        <v>50</v>
      </c>
      <c r="H58" s="14">
        <v>8.0</v>
      </c>
    </row>
    <row r="59" ht="15.75" customHeight="1">
      <c r="B59" s="10">
        <v>51.0</v>
      </c>
      <c r="C59" s="11" t="s">
        <v>12</v>
      </c>
      <c r="D59" s="15">
        <v>2.0</v>
      </c>
      <c r="E59" s="16" t="s">
        <v>70</v>
      </c>
      <c r="F59" s="16" t="s">
        <v>72</v>
      </c>
      <c r="G59" s="10" t="s">
        <v>50</v>
      </c>
      <c r="H59" s="14">
        <v>9.0</v>
      </c>
    </row>
    <row r="60" ht="15.75" customHeight="1">
      <c r="B60" s="10">
        <v>52.0</v>
      </c>
      <c r="C60" s="11" t="s">
        <v>55</v>
      </c>
      <c r="D60" s="15">
        <v>2.0</v>
      </c>
      <c r="E60" s="16" t="s">
        <v>70</v>
      </c>
      <c r="F60" s="16" t="s">
        <v>73</v>
      </c>
      <c r="G60" s="10" t="s">
        <v>50</v>
      </c>
      <c r="H60" s="14">
        <v>9.0</v>
      </c>
    </row>
    <row r="61" ht="15.75" customHeight="1">
      <c r="B61" s="10">
        <v>53.0</v>
      </c>
      <c r="C61" s="11" t="s">
        <v>65</v>
      </c>
      <c r="D61" s="15">
        <v>2.0</v>
      </c>
      <c r="E61" s="16" t="s">
        <v>70</v>
      </c>
      <c r="F61" s="16" t="s">
        <v>74</v>
      </c>
      <c r="G61" s="10" t="s">
        <v>50</v>
      </c>
      <c r="H61" s="14">
        <v>9.0</v>
      </c>
    </row>
    <row r="62" ht="15.75" customHeight="1">
      <c r="B62" s="10">
        <v>54.0</v>
      </c>
      <c r="C62" s="11" t="s">
        <v>55</v>
      </c>
      <c r="D62" s="15">
        <v>2.0</v>
      </c>
      <c r="E62" s="16" t="s">
        <v>70</v>
      </c>
      <c r="F62" s="16" t="s">
        <v>75</v>
      </c>
      <c r="G62" s="10" t="s">
        <v>50</v>
      </c>
      <c r="H62" s="14">
        <v>9.0</v>
      </c>
    </row>
    <row r="63" ht="15.75" customHeight="1">
      <c r="B63" s="10">
        <v>55.0</v>
      </c>
      <c r="C63" s="11" t="s">
        <v>55</v>
      </c>
      <c r="D63" s="15">
        <v>2.0</v>
      </c>
      <c r="E63" s="16" t="s">
        <v>70</v>
      </c>
      <c r="F63" s="16" t="s">
        <v>76</v>
      </c>
      <c r="G63" s="10" t="s">
        <v>50</v>
      </c>
      <c r="H63" s="14">
        <v>9.0</v>
      </c>
    </row>
    <row r="64" ht="15.75" customHeight="1">
      <c r="B64" s="10">
        <v>56.0</v>
      </c>
      <c r="C64" s="11" t="s">
        <v>67</v>
      </c>
      <c r="D64" s="15">
        <v>2.0</v>
      </c>
      <c r="E64" s="16" t="s">
        <v>70</v>
      </c>
      <c r="F64" s="16" t="s">
        <v>77</v>
      </c>
      <c r="G64" s="10" t="s">
        <v>78</v>
      </c>
      <c r="H64" s="14">
        <v>9.0</v>
      </c>
    </row>
    <row r="65" ht="15.75" customHeight="1">
      <c r="B65" s="10">
        <v>57.0</v>
      </c>
      <c r="C65" s="11" t="s">
        <v>67</v>
      </c>
      <c r="D65" s="15">
        <v>3.0</v>
      </c>
      <c r="E65" s="16" t="s">
        <v>79</v>
      </c>
      <c r="F65" s="16" t="s">
        <v>80</v>
      </c>
      <c r="G65" s="10" t="s">
        <v>78</v>
      </c>
      <c r="H65" s="14">
        <v>9.0</v>
      </c>
    </row>
    <row r="66" ht="15.75" customHeight="1">
      <c r="B66" s="10">
        <v>58.0</v>
      </c>
      <c r="C66" s="11" t="s">
        <v>12</v>
      </c>
      <c r="D66" s="15">
        <v>3.0</v>
      </c>
      <c r="E66" s="16" t="s">
        <v>79</v>
      </c>
      <c r="F66" s="16" t="s">
        <v>81</v>
      </c>
      <c r="G66" s="10" t="s">
        <v>78</v>
      </c>
      <c r="H66" s="14">
        <v>9.0</v>
      </c>
    </row>
    <row r="67" ht="15.75" customHeight="1">
      <c r="B67" s="10">
        <v>59.0</v>
      </c>
      <c r="C67" s="11" t="s">
        <v>31</v>
      </c>
      <c r="D67" s="15">
        <v>3.0</v>
      </c>
      <c r="E67" s="16" t="s">
        <v>79</v>
      </c>
      <c r="F67" s="16" t="s">
        <v>82</v>
      </c>
      <c r="G67" s="10" t="s">
        <v>78</v>
      </c>
      <c r="H67" s="14">
        <v>10.0</v>
      </c>
    </row>
    <row r="68" ht="15.75" customHeight="1">
      <c r="B68" s="10">
        <v>60.0</v>
      </c>
      <c r="C68" s="11" t="s">
        <v>31</v>
      </c>
      <c r="D68" s="15">
        <v>3.0</v>
      </c>
      <c r="E68" s="16" t="s">
        <v>79</v>
      </c>
      <c r="F68" s="16" t="s">
        <v>83</v>
      </c>
      <c r="G68" s="10" t="s">
        <v>78</v>
      </c>
      <c r="H68" s="14">
        <v>10.0</v>
      </c>
    </row>
    <row r="69" ht="15.75" customHeight="1">
      <c r="B69" s="10">
        <v>61.0</v>
      </c>
      <c r="C69" s="11" t="s">
        <v>31</v>
      </c>
      <c r="D69" s="15">
        <v>3.0</v>
      </c>
      <c r="E69" s="16" t="s">
        <v>79</v>
      </c>
      <c r="F69" s="16" t="s">
        <v>84</v>
      </c>
      <c r="G69" s="10" t="s">
        <v>78</v>
      </c>
      <c r="H69" s="14">
        <v>10.0</v>
      </c>
    </row>
    <row r="70" ht="15.75" customHeight="1">
      <c r="B70" s="10">
        <v>62.0</v>
      </c>
      <c r="C70" s="11" t="s">
        <v>31</v>
      </c>
      <c r="D70" s="15">
        <v>3.0</v>
      </c>
      <c r="E70" s="16" t="s">
        <v>79</v>
      </c>
      <c r="F70" s="16" t="s">
        <v>85</v>
      </c>
      <c r="G70" s="10" t="s">
        <v>78</v>
      </c>
      <c r="H70" s="14">
        <v>10.0</v>
      </c>
    </row>
    <row r="71" ht="15.75" customHeight="1">
      <c r="B71" s="10">
        <v>63.0</v>
      </c>
      <c r="C71" s="11" t="s">
        <v>12</v>
      </c>
      <c r="D71" s="15">
        <v>3.0</v>
      </c>
      <c r="E71" s="16" t="s">
        <v>79</v>
      </c>
      <c r="F71" s="16" t="s">
        <v>86</v>
      </c>
      <c r="G71" s="10" t="s">
        <v>78</v>
      </c>
      <c r="H71" s="14">
        <v>10.0</v>
      </c>
    </row>
    <row r="72" ht="15.75" customHeight="1">
      <c r="B72" s="10">
        <v>64.0</v>
      </c>
      <c r="C72" s="11" t="s">
        <v>31</v>
      </c>
      <c r="D72" s="15">
        <v>3.0</v>
      </c>
      <c r="E72" s="16" t="s">
        <v>87</v>
      </c>
      <c r="F72" s="16" t="s">
        <v>88</v>
      </c>
      <c r="G72" s="10" t="s">
        <v>78</v>
      </c>
      <c r="H72" s="14">
        <v>10.0</v>
      </c>
    </row>
    <row r="73" ht="15.75" customHeight="1">
      <c r="B73" s="10">
        <v>65.0</v>
      </c>
      <c r="C73" s="11" t="s">
        <v>67</v>
      </c>
      <c r="D73" s="15">
        <v>3.0</v>
      </c>
      <c r="E73" s="16" t="s">
        <v>87</v>
      </c>
      <c r="F73" s="16" t="s">
        <v>89</v>
      </c>
      <c r="G73" s="10" t="s">
        <v>78</v>
      </c>
      <c r="H73" s="14">
        <v>10.0</v>
      </c>
    </row>
    <row r="74" ht="15.75" customHeight="1">
      <c r="B74" s="10">
        <v>66.0</v>
      </c>
      <c r="C74" s="11" t="s">
        <v>12</v>
      </c>
      <c r="D74" s="15">
        <v>3.0</v>
      </c>
      <c r="E74" s="16" t="s">
        <v>87</v>
      </c>
      <c r="F74" s="16" t="s">
        <v>90</v>
      </c>
      <c r="G74" s="10" t="s">
        <v>78</v>
      </c>
      <c r="H74" s="14">
        <v>10.0</v>
      </c>
    </row>
    <row r="75" ht="15.75" customHeight="1">
      <c r="B75" s="10">
        <v>67.0</v>
      </c>
      <c r="C75" s="11" t="s">
        <v>55</v>
      </c>
      <c r="D75" s="15">
        <v>3.0</v>
      </c>
      <c r="E75" s="16" t="s">
        <v>87</v>
      </c>
      <c r="F75" s="16" t="s">
        <v>91</v>
      </c>
      <c r="G75" s="10" t="s">
        <v>78</v>
      </c>
      <c r="H75" s="14">
        <v>10.0</v>
      </c>
    </row>
    <row r="76" ht="15.75" customHeight="1">
      <c r="B76" s="10">
        <v>68.0</v>
      </c>
      <c r="C76" s="11" t="s">
        <v>55</v>
      </c>
      <c r="D76" s="15">
        <v>3.0</v>
      </c>
      <c r="E76" s="16" t="s">
        <v>87</v>
      </c>
      <c r="F76" s="16" t="s">
        <v>58</v>
      </c>
      <c r="G76" s="10" t="s">
        <v>78</v>
      </c>
      <c r="H76" s="14">
        <v>10.0</v>
      </c>
    </row>
    <row r="77" ht="15.75" customHeight="1">
      <c r="B77" s="10">
        <v>69.0</v>
      </c>
      <c r="C77" s="11" t="s">
        <v>65</v>
      </c>
      <c r="D77" s="15">
        <v>3.0</v>
      </c>
      <c r="E77" s="16" t="s">
        <v>87</v>
      </c>
      <c r="F77" s="16" t="s">
        <v>92</v>
      </c>
      <c r="G77" s="10" t="s">
        <v>78</v>
      </c>
      <c r="H77" s="14">
        <v>10.0</v>
      </c>
    </row>
    <row r="78" ht="15.75" customHeight="1">
      <c r="B78" s="10">
        <v>70.0</v>
      </c>
      <c r="C78" s="11" t="s">
        <v>67</v>
      </c>
      <c r="D78" s="15">
        <v>3.0</v>
      </c>
      <c r="E78" s="16" t="s">
        <v>87</v>
      </c>
      <c r="F78" s="16" t="s">
        <v>93</v>
      </c>
      <c r="G78" s="10" t="s">
        <v>78</v>
      </c>
      <c r="H78" s="14">
        <v>10.0</v>
      </c>
    </row>
    <row r="79" ht="15.75" customHeight="1">
      <c r="B79" s="10">
        <v>71.0</v>
      </c>
      <c r="C79" s="11" t="s">
        <v>94</v>
      </c>
      <c r="D79" s="15">
        <v>3.0</v>
      </c>
      <c r="E79" s="16" t="s">
        <v>95</v>
      </c>
      <c r="F79" s="16" t="s">
        <v>96</v>
      </c>
      <c r="G79" s="10" t="s">
        <v>78</v>
      </c>
      <c r="H79" s="14">
        <v>10.0</v>
      </c>
    </row>
    <row r="80" ht="15.75" customHeight="1">
      <c r="B80" s="10">
        <v>72.0</v>
      </c>
      <c r="C80" s="11" t="s">
        <v>94</v>
      </c>
      <c r="D80" s="15">
        <v>3.0</v>
      </c>
      <c r="E80" s="16" t="s">
        <v>95</v>
      </c>
      <c r="F80" s="16" t="s">
        <v>97</v>
      </c>
      <c r="G80" s="10" t="s">
        <v>78</v>
      </c>
      <c r="H80" s="14">
        <v>10.0</v>
      </c>
    </row>
    <row r="81" ht="15.75" customHeight="1">
      <c r="B81" s="10">
        <v>73.0</v>
      </c>
      <c r="C81" s="11" t="s">
        <v>31</v>
      </c>
      <c r="D81" s="15">
        <v>3.0</v>
      </c>
      <c r="E81" s="16" t="s">
        <v>95</v>
      </c>
      <c r="F81" s="16" t="s">
        <v>98</v>
      </c>
      <c r="G81" s="10" t="s">
        <v>78</v>
      </c>
      <c r="H81" s="14">
        <v>11.0</v>
      </c>
    </row>
    <row r="82" ht="15.75" customHeight="1">
      <c r="B82" s="10">
        <v>74.0</v>
      </c>
      <c r="C82" s="11" t="s">
        <v>12</v>
      </c>
      <c r="D82" s="15">
        <v>3.0</v>
      </c>
      <c r="E82" s="16" t="s">
        <v>95</v>
      </c>
      <c r="F82" s="16" t="s">
        <v>99</v>
      </c>
      <c r="G82" s="10" t="s">
        <v>78</v>
      </c>
      <c r="H82" s="14">
        <v>11.0</v>
      </c>
    </row>
    <row r="83" ht="15.75" customHeight="1">
      <c r="B83" s="10">
        <v>75.0</v>
      </c>
      <c r="C83" s="11" t="s">
        <v>22</v>
      </c>
      <c r="D83" s="15">
        <v>3.0</v>
      </c>
      <c r="E83" s="16" t="s">
        <v>95</v>
      </c>
      <c r="F83" s="16" t="s">
        <v>29</v>
      </c>
      <c r="G83" s="10" t="s">
        <v>78</v>
      </c>
      <c r="H83" s="14">
        <v>11.0</v>
      </c>
    </row>
    <row r="84" ht="15.75" customHeight="1">
      <c r="B84" s="10">
        <v>76.0</v>
      </c>
      <c r="C84" s="11" t="s">
        <v>55</v>
      </c>
      <c r="D84" s="15">
        <v>3.0</v>
      </c>
      <c r="E84" s="16" t="s">
        <v>95</v>
      </c>
      <c r="F84" s="16" t="s">
        <v>100</v>
      </c>
      <c r="G84" s="10" t="s">
        <v>78</v>
      </c>
      <c r="H84" s="14">
        <v>11.0</v>
      </c>
    </row>
    <row r="85" ht="15.75" customHeight="1">
      <c r="B85" s="10">
        <v>77.0</v>
      </c>
      <c r="C85" s="11" t="s">
        <v>94</v>
      </c>
      <c r="D85" s="15">
        <v>3.0</v>
      </c>
      <c r="E85" s="16" t="s">
        <v>95</v>
      </c>
      <c r="F85" s="16" t="s">
        <v>101</v>
      </c>
      <c r="G85" s="10" t="s">
        <v>78</v>
      </c>
      <c r="H85" s="14">
        <v>11.0</v>
      </c>
    </row>
    <row r="86" ht="15.75" customHeight="1">
      <c r="B86" s="10">
        <v>78.0</v>
      </c>
      <c r="C86" s="11" t="s">
        <v>65</v>
      </c>
      <c r="D86" s="15">
        <v>4.0</v>
      </c>
      <c r="E86" s="16" t="s">
        <v>102</v>
      </c>
      <c r="F86" s="16" t="s">
        <v>103</v>
      </c>
      <c r="G86" s="10" t="s">
        <v>78</v>
      </c>
      <c r="H86" s="14">
        <v>11.0</v>
      </c>
    </row>
    <row r="87" ht="15.75" customHeight="1">
      <c r="B87" s="10">
        <v>79.0</v>
      </c>
      <c r="C87" s="11" t="s">
        <v>55</v>
      </c>
      <c r="D87" s="15">
        <v>4.0</v>
      </c>
      <c r="E87" s="16" t="s">
        <v>102</v>
      </c>
      <c r="F87" s="16" t="s">
        <v>104</v>
      </c>
      <c r="G87" s="10" t="s">
        <v>78</v>
      </c>
      <c r="H87" s="14">
        <v>11.0</v>
      </c>
    </row>
    <row r="88" ht="15.75" customHeight="1">
      <c r="B88" s="10">
        <v>80.0</v>
      </c>
      <c r="C88" s="11" t="s">
        <v>12</v>
      </c>
      <c r="D88" s="15">
        <v>4.0</v>
      </c>
      <c r="E88" s="16" t="s">
        <v>102</v>
      </c>
      <c r="F88" s="16" t="s">
        <v>105</v>
      </c>
      <c r="G88" s="10" t="s">
        <v>78</v>
      </c>
      <c r="H88" s="14">
        <v>11.0</v>
      </c>
    </row>
    <row r="89" ht="15.75" customHeight="1">
      <c r="B89" s="10">
        <v>81.0</v>
      </c>
      <c r="C89" s="11" t="s">
        <v>31</v>
      </c>
      <c r="D89" s="15">
        <v>4.0</v>
      </c>
      <c r="E89" s="16" t="s">
        <v>102</v>
      </c>
      <c r="F89" s="16" t="s">
        <v>106</v>
      </c>
      <c r="G89" s="10" t="s">
        <v>107</v>
      </c>
      <c r="H89" s="14">
        <v>11.0</v>
      </c>
    </row>
    <row r="90" ht="15.75" customHeight="1">
      <c r="B90" s="10">
        <v>82.0</v>
      </c>
      <c r="C90" s="11" t="s">
        <v>67</v>
      </c>
      <c r="D90" s="15">
        <v>4.0</v>
      </c>
      <c r="E90" s="16" t="s">
        <v>102</v>
      </c>
      <c r="F90" s="16" t="s">
        <v>108</v>
      </c>
      <c r="G90" s="10" t="s">
        <v>107</v>
      </c>
      <c r="H90" s="14">
        <v>11.0</v>
      </c>
    </row>
    <row r="91" ht="15.75" customHeight="1">
      <c r="B91" s="10">
        <v>83.0</v>
      </c>
      <c r="C91" s="11" t="s">
        <v>67</v>
      </c>
      <c r="D91" s="15">
        <v>4.0</v>
      </c>
      <c r="E91" s="16" t="s">
        <v>102</v>
      </c>
      <c r="F91" s="16" t="s">
        <v>109</v>
      </c>
      <c r="G91" s="10" t="s">
        <v>107</v>
      </c>
      <c r="H91" s="14">
        <v>11.0</v>
      </c>
    </row>
    <row r="92" ht="15.75" customHeight="1">
      <c r="B92" s="10">
        <v>84.0</v>
      </c>
      <c r="C92" s="11" t="s">
        <v>31</v>
      </c>
      <c r="D92" s="15">
        <v>4.0</v>
      </c>
      <c r="E92" s="16" t="s">
        <v>102</v>
      </c>
      <c r="F92" s="16" t="s">
        <v>110</v>
      </c>
      <c r="G92" s="10" t="s">
        <v>107</v>
      </c>
      <c r="H92" s="14">
        <v>11.0</v>
      </c>
    </row>
    <row r="93" ht="15.75" customHeight="1">
      <c r="B93" s="10">
        <v>85.0</v>
      </c>
      <c r="C93" s="11" t="s">
        <v>67</v>
      </c>
      <c r="D93" s="15">
        <v>4.0</v>
      </c>
      <c r="E93" s="16" t="s">
        <v>111</v>
      </c>
      <c r="F93" s="16" t="s">
        <v>112</v>
      </c>
      <c r="G93" s="10" t="s">
        <v>107</v>
      </c>
      <c r="H93" s="14">
        <v>12.0</v>
      </c>
    </row>
    <row r="94" ht="15.75" customHeight="1">
      <c r="B94" s="10">
        <v>86.0</v>
      </c>
      <c r="C94" s="11" t="s">
        <v>22</v>
      </c>
      <c r="D94" s="15">
        <v>4.0</v>
      </c>
      <c r="E94" s="16" t="s">
        <v>111</v>
      </c>
      <c r="F94" s="16" t="s">
        <v>113</v>
      </c>
      <c r="G94" s="10" t="s">
        <v>107</v>
      </c>
      <c r="H94" s="14">
        <v>12.0</v>
      </c>
    </row>
    <row r="95" ht="15.75" customHeight="1">
      <c r="B95" s="10">
        <v>87.0</v>
      </c>
      <c r="C95" s="11" t="s">
        <v>22</v>
      </c>
      <c r="D95" s="15">
        <v>4.0</v>
      </c>
      <c r="E95" s="16" t="s">
        <v>111</v>
      </c>
      <c r="F95" s="16" t="s">
        <v>114</v>
      </c>
      <c r="G95" s="10" t="s">
        <v>107</v>
      </c>
      <c r="H95" s="14">
        <v>12.0</v>
      </c>
    </row>
    <row r="96" ht="15.75" customHeight="1">
      <c r="B96" s="10">
        <v>88.0</v>
      </c>
      <c r="C96" s="11" t="s">
        <v>31</v>
      </c>
      <c r="D96" s="15">
        <v>4.0</v>
      </c>
      <c r="E96" s="16" t="s">
        <v>111</v>
      </c>
      <c r="F96" s="16" t="s">
        <v>115</v>
      </c>
      <c r="G96" s="10" t="s">
        <v>107</v>
      </c>
      <c r="H96" s="14">
        <v>12.0</v>
      </c>
    </row>
    <row r="97" ht="15.75" customHeight="1">
      <c r="B97" s="10">
        <v>89.0</v>
      </c>
      <c r="C97" s="11" t="s">
        <v>67</v>
      </c>
      <c r="D97" s="15">
        <v>4.0</v>
      </c>
      <c r="E97" s="16" t="s">
        <v>111</v>
      </c>
      <c r="F97" s="16" t="s">
        <v>37</v>
      </c>
      <c r="G97" s="10" t="s">
        <v>107</v>
      </c>
      <c r="H97" s="14">
        <v>12.0</v>
      </c>
    </row>
    <row r="98" ht="15.75" customHeight="1">
      <c r="B98" s="10">
        <v>90.0</v>
      </c>
      <c r="C98" s="11" t="s">
        <v>67</v>
      </c>
      <c r="D98" s="15">
        <v>4.0</v>
      </c>
      <c r="E98" s="16" t="s">
        <v>111</v>
      </c>
      <c r="F98" s="16" t="s">
        <v>116</v>
      </c>
      <c r="G98" s="10" t="s">
        <v>107</v>
      </c>
      <c r="H98" s="14">
        <v>12.0</v>
      </c>
    </row>
    <row r="99" ht="15.75" customHeight="1">
      <c r="B99" s="10">
        <v>91.0</v>
      </c>
      <c r="C99" s="11" t="s">
        <v>94</v>
      </c>
      <c r="D99" s="15">
        <v>4.0</v>
      </c>
      <c r="E99" s="16" t="s">
        <v>111</v>
      </c>
      <c r="F99" s="16" t="s">
        <v>117</v>
      </c>
      <c r="G99" s="10" t="s">
        <v>107</v>
      </c>
      <c r="H99" s="14">
        <v>12.0</v>
      </c>
    </row>
    <row r="100" ht="15.75" customHeight="1">
      <c r="B100" s="10">
        <v>92.0</v>
      </c>
      <c r="C100" s="11" t="s">
        <v>67</v>
      </c>
      <c r="D100" s="15">
        <v>5.0</v>
      </c>
      <c r="E100" s="16" t="s">
        <v>118</v>
      </c>
      <c r="F100" s="16" t="s">
        <v>119</v>
      </c>
      <c r="G100" s="10" t="s">
        <v>107</v>
      </c>
      <c r="H100" s="14">
        <v>12.0</v>
      </c>
    </row>
    <row r="101" ht="15.75" customHeight="1">
      <c r="B101" s="10">
        <v>93.0</v>
      </c>
      <c r="C101" s="11" t="s">
        <v>94</v>
      </c>
      <c r="D101" s="15">
        <v>5.0</v>
      </c>
      <c r="E101" s="16" t="s">
        <v>118</v>
      </c>
      <c r="F101" s="16" t="s">
        <v>120</v>
      </c>
      <c r="G101" s="10" t="s">
        <v>107</v>
      </c>
      <c r="H101" s="14">
        <v>12.0</v>
      </c>
    </row>
    <row r="102" ht="15.75" customHeight="1">
      <c r="B102" s="10">
        <v>94.0</v>
      </c>
      <c r="C102" s="11" t="s">
        <v>94</v>
      </c>
      <c r="D102" s="15">
        <v>5.0</v>
      </c>
      <c r="E102" s="16" t="s">
        <v>118</v>
      </c>
      <c r="F102" s="16" t="s">
        <v>121</v>
      </c>
      <c r="G102" s="10" t="s">
        <v>107</v>
      </c>
      <c r="H102" s="14">
        <v>12.0</v>
      </c>
    </row>
    <row r="103" ht="15.75" customHeight="1">
      <c r="C103" s="18"/>
      <c r="D103" s="15"/>
      <c r="E103" s="16"/>
      <c r="F103" s="16"/>
    </row>
    <row r="104" ht="15.75" customHeight="1">
      <c r="C104" s="18"/>
      <c r="D104" s="15"/>
      <c r="E104" s="16"/>
      <c r="F104" s="16"/>
    </row>
    <row r="105" ht="15.75" customHeight="1">
      <c r="C105" s="18"/>
      <c r="D105" s="15"/>
      <c r="E105" s="16"/>
      <c r="F105" s="16"/>
    </row>
    <row r="106" ht="15.75" customHeight="1">
      <c r="C106" s="18"/>
      <c r="D106" s="15"/>
      <c r="E106" s="16"/>
      <c r="F106" s="16"/>
    </row>
    <row r="107" ht="15.75" customHeight="1">
      <c r="C107" s="18"/>
    </row>
    <row r="108" ht="15.75" customHeight="1">
      <c r="C108" s="18"/>
    </row>
    <row r="109" ht="15.75" customHeight="1">
      <c r="C109" s="18"/>
    </row>
    <row r="110" ht="15.75" customHeight="1">
      <c r="C110" s="18"/>
    </row>
    <row r="111" ht="15.75" customHeight="1">
      <c r="C111" s="18"/>
    </row>
    <row r="112" ht="15.75" customHeight="1">
      <c r="C112" s="18"/>
    </row>
    <row r="113" ht="15.75" customHeight="1">
      <c r="C113" s="18"/>
    </row>
    <row r="114" ht="15.75" customHeight="1">
      <c r="C114" s="18"/>
    </row>
    <row r="115" ht="15.75" customHeight="1">
      <c r="C115" s="18"/>
    </row>
    <row r="116" ht="15.75" customHeight="1">
      <c r="C116" s="18"/>
    </row>
    <row r="117" ht="15.75" customHeight="1">
      <c r="C117" s="18"/>
    </row>
    <row r="118" ht="15.75" customHeight="1">
      <c r="C118" s="18"/>
    </row>
    <row r="119" ht="15.75" customHeight="1">
      <c r="C119" s="18"/>
    </row>
    <row r="120" ht="15.75" customHeight="1">
      <c r="C120" s="18"/>
    </row>
    <row r="121" ht="15.75" customHeight="1">
      <c r="C121" s="18"/>
    </row>
    <row r="122" ht="15.75" customHeight="1">
      <c r="C122" s="18"/>
    </row>
    <row r="123" ht="15.75" customHeight="1">
      <c r="C123" s="18"/>
    </row>
    <row r="124" ht="15.75" customHeight="1">
      <c r="C124" s="18"/>
    </row>
    <row r="125" ht="15.75" customHeight="1">
      <c r="C125" s="18"/>
    </row>
    <row r="126" ht="15.75" customHeight="1">
      <c r="C126" s="18"/>
    </row>
    <row r="127" ht="15.75" customHeight="1">
      <c r="C127" s="18"/>
    </row>
    <row r="128" ht="15.75" customHeight="1">
      <c r="C128" s="18"/>
    </row>
    <row r="129" ht="15.75" customHeight="1">
      <c r="C129" s="18"/>
    </row>
    <row r="130" ht="15.75" customHeight="1">
      <c r="C130" s="18"/>
    </row>
    <row r="131" ht="15.75" customHeight="1">
      <c r="C131" s="18"/>
    </row>
    <row r="132" ht="15.75" customHeight="1">
      <c r="C132" s="18"/>
    </row>
    <row r="133" ht="15.75" customHeight="1">
      <c r="C133" s="18"/>
    </row>
    <row r="134" ht="15.75" customHeight="1">
      <c r="C134" s="18"/>
    </row>
    <row r="135" ht="15.75" customHeight="1">
      <c r="C135" s="18"/>
    </row>
    <row r="136" ht="15.75" customHeight="1">
      <c r="C136" s="18"/>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"2,3,4,5,6,7,8,9,10,11,12"</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19" t="s">
        <v>1</v>
      </c>
      <c r="C4" s="20" t="str">
        <f>'Diseño'!C4</f>
        <v>786 - Sistemas Organizacionales y Gerenciales 1</v>
      </c>
      <c r="D4" s="21"/>
      <c r="E4" s="21"/>
      <c r="F4" s="21"/>
      <c r="G4" s="22"/>
    </row>
    <row r="5" ht="15.75" customHeight="1">
      <c r="B5" s="23" t="s">
        <v>11</v>
      </c>
      <c r="C5" s="20">
        <v>1.0</v>
      </c>
      <c r="D5" s="21"/>
      <c r="E5" s="21"/>
      <c r="F5" s="21"/>
      <c r="G5" s="22"/>
    </row>
    <row r="6" ht="15.75" customHeight="1">
      <c r="B6" s="23" t="s">
        <v>122</v>
      </c>
      <c r="C6" s="20" t="str">
        <f>B15+B22+B29+B41+B47+C48</f>
        <v>#VALUE!</v>
      </c>
      <c r="D6" s="21"/>
      <c r="E6" s="21"/>
      <c r="F6" s="21"/>
      <c r="G6" s="22"/>
    </row>
    <row r="7" ht="15.75" customHeight="1"/>
    <row r="8" ht="15.75" customHeight="1">
      <c r="K8" s="24" t="s">
        <v>123</v>
      </c>
    </row>
    <row r="9" ht="15.75" customHeight="1">
      <c r="A9" s="25" t="s">
        <v>124</v>
      </c>
      <c r="G9" s="26" t="s">
        <v>125</v>
      </c>
      <c r="H9" s="27" t="s">
        <v>126</v>
      </c>
    </row>
    <row r="10" ht="15.75" customHeight="1">
      <c r="G10" s="28" t="s">
        <v>127</v>
      </c>
    </row>
    <row r="11" ht="24.75" customHeight="1">
      <c r="A11" s="29" t="s">
        <v>128</v>
      </c>
      <c r="B11" s="30" t="s">
        <v>129</v>
      </c>
      <c r="C11" s="21"/>
      <c r="D11" s="21"/>
      <c r="E11" s="21"/>
      <c r="F11" s="21"/>
      <c r="G11" s="21"/>
      <c r="H11" s="22"/>
    </row>
    <row r="12" ht="15.75" customHeight="1">
      <c r="A12" s="29" t="s">
        <v>130</v>
      </c>
      <c r="B12" s="30" t="s">
        <v>131</v>
      </c>
      <c r="C12" s="21"/>
      <c r="D12" s="21"/>
      <c r="E12" s="21"/>
      <c r="F12" s="21"/>
      <c r="G12" s="21"/>
      <c r="H12" s="22"/>
    </row>
    <row r="13" ht="15.75" customHeight="1">
      <c r="A13" s="31" t="s">
        <v>132</v>
      </c>
      <c r="B13" s="32" t="s">
        <v>133</v>
      </c>
      <c r="C13" s="21"/>
      <c r="D13" s="21"/>
      <c r="E13" s="21"/>
      <c r="F13" s="21"/>
      <c r="G13" s="21"/>
      <c r="H13" s="22"/>
    </row>
    <row r="14" ht="15.75" customHeight="1">
      <c r="A14" s="31" t="s">
        <v>134</v>
      </c>
      <c r="B14" s="32" t="s">
        <v>135</v>
      </c>
      <c r="C14" s="21"/>
      <c r="D14" s="21"/>
      <c r="E14" s="21"/>
      <c r="F14" s="21"/>
      <c r="G14" s="21"/>
      <c r="H14" s="22"/>
    </row>
    <row r="15" ht="15.75" customHeight="1">
      <c r="A15" s="33" t="s">
        <v>136</v>
      </c>
      <c r="B15" s="32" t="s">
        <v>137</v>
      </c>
      <c r="C15" s="21"/>
      <c r="D15" s="21"/>
      <c r="E15" s="21"/>
      <c r="F15" s="21"/>
      <c r="G15" s="21"/>
      <c r="H15" s="22"/>
    </row>
    <row r="16" ht="15.75" customHeight="1"/>
    <row r="17" ht="15.75" customHeight="1"/>
    <row r="18" ht="15.75" customHeight="1">
      <c r="A18" s="34" t="s">
        <v>138</v>
      </c>
      <c r="G18" s="26" t="s">
        <v>125</v>
      </c>
      <c r="H18" s="27" t="str">
        <f>B22</f>
        <v>30 min</v>
      </c>
    </row>
    <row r="19" ht="15.75" customHeight="1">
      <c r="G19" s="28" t="s">
        <v>139</v>
      </c>
      <c r="K19" s="24" t="s">
        <v>140</v>
      </c>
    </row>
    <row r="20" ht="15.75" customHeight="1">
      <c r="A20" s="29" t="s">
        <v>141</v>
      </c>
      <c r="B20" s="30" t="s">
        <v>142</v>
      </c>
      <c r="C20" s="21"/>
      <c r="D20" s="21"/>
      <c r="E20" s="21"/>
      <c r="F20" s="21"/>
      <c r="G20" s="21"/>
      <c r="H20" s="22"/>
    </row>
    <row r="21" ht="15.75" customHeight="1">
      <c r="A21" s="29" t="s">
        <v>143</v>
      </c>
      <c r="B21" s="30" t="s">
        <v>144</v>
      </c>
      <c r="C21" s="21"/>
      <c r="D21" s="21"/>
      <c r="E21" s="21"/>
      <c r="F21" s="21"/>
      <c r="G21" s="21"/>
      <c r="H21" s="22"/>
    </row>
    <row r="22" ht="15.75" customHeight="1">
      <c r="A22" s="33" t="s">
        <v>136</v>
      </c>
      <c r="B22" s="32" t="s">
        <v>145</v>
      </c>
      <c r="C22" s="21"/>
      <c r="D22" s="21"/>
      <c r="E22" s="21"/>
      <c r="F22" s="21"/>
      <c r="G22" s="21"/>
      <c r="H22" s="22"/>
    </row>
    <row r="23" ht="15.75" customHeight="1"/>
    <row r="24" ht="15.75" customHeight="1"/>
    <row r="25" ht="15.75" customHeight="1">
      <c r="A25" s="34" t="s">
        <v>146</v>
      </c>
      <c r="G25" s="35" t="s">
        <v>125</v>
      </c>
      <c r="H25" s="36" t="str">
        <f>B29</f>
        <v>20 min</v>
      </c>
    </row>
    <row r="26" ht="15.75" customHeight="1">
      <c r="G26" s="28" t="s">
        <v>147</v>
      </c>
      <c r="H26" s="28"/>
      <c r="I26" s="28"/>
      <c r="J26" s="28"/>
    </row>
    <row r="27" ht="39.75" customHeight="1">
      <c r="A27" s="29" t="s">
        <v>148</v>
      </c>
      <c r="B27" s="30" t="s">
        <v>149</v>
      </c>
      <c r="C27" s="21"/>
      <c r="D27" s="21"/>
      <c r="E27" s="21"/>
      <c r="F27" s="21"/>
      <c r="G27" s="21"/>
      <c r="H27" s="22"/>
      <c r="K27" s="24" t="s">
        <v>150</v>
      </c>
    </row>
    <row r="28" ht="69.75" customHeight="1">
      <c r="A28" s="29" t="s">
        <v>151</v>
      </c>
      <c r="B28" s="30" t="s">
        <v>152</v>
      </c>
      <c r="C28" s="21"/>
      <c r="D28" s="21"/>
      <c r="E28" s="21"/>
      <c r="F28" s="21"/>
      <c r="G28" s="21"/>
      <c r="H28" s="22"/>
    </row>
    <row r="29" ht="15.75" customHeight="1">
      <c r="A29" s="33" t="s">
        <v>136</v>
      </c>
      <c r="B29" s="32" t="s">
        <v>153</v>
      </c>
      <c r="C29" s="21"/>
      <c r="D29" s="21"/>
      <c r="E29" s="21"/>
      <c r="F29" s="21"/>
      <c r="G29" s="21"/>
      <c r="H29" s="22"/>
    </row>
    <row r="30" ht="15.75" customHeight="1"/>
    <row r="31" ht="15.75" customHeight="1"/>
    <row r="32" ht="15.75" customHeight="1">
      <c r="A32" s="34" t="s">
        <v>154</v>
      </c>
      <c r="G32" s="35" t="s">
        <v>125</v>
      </c>
      <c r="H32" s="36" t="str">
        <f>B36</f>
        <v>5 min</v>
      </c>
    </row>
    <row r="33" ht="15.75" customHeight="1">
      <c r="A33" s="6" t="s">
        <v>155</v>
      </c>
      <c r="G33" s="6" t="s">
        <v>156</v>
      </c>
    </row>
    <row r="34" ht="15.75" customHeight="1">
      <c r="A34" s="29" t="s">
        <v>157</v>
      </c>
      <c r="B34" s="37" t="s">
        <v>158</v>
      </c>
      <c r="C34" s="21"/>
      <c r="D34" s="21"/>
      <c r="E34" s="21"/>
      <c r="F34" s="21"/>
      <c r="G34" s="21"/>
      <c r="H34" s="22"/>
      <c r="K34" s="24" t="s">
        <v>159</v>
      </c>
    </row>
    <row r="35" ht="15.75" customHeight="1">
      <c r="A35" s="29" t="s">
        <v>160</v>
      </c>
      <c r="B35" s="30" t="s">
        <v>161</v>
      </c>
      <c r="C35" s="21"/>
      <c r="D35" s="21"/>
      <c r="E35" s="21"/>
      <c r="F35" s="21"/>
      <c r="G35" s="21"/>
      <c r="H35" s="22"/>
    </row>
    <row r="36" ht="15.75" customHeight="1">
      <c r="A36" s="33" t="s">
        <v>136</v>
      </c>
      <c r="B36" s="32" t="s">
        <v>162</v>
      </c>
      <c r="C36" s="21"/>
      <c r="D36" s="21"/>
      <c r="E36" s="21"/>
      <c r="F36" s="21"/>
      <c r="G36" s="21"/>
      <c r="H36" s="22"/>
    </row>
    <row r="37" ht="15.75" customHeight="1"/>
    <row r="38" ht="15.75" customHeight="1"/>
    <row r="39" ht="15.75" customHeight="1">
      <c r="A39" s="34" t="s">
        <v>163</v>
      </c>
      <c r="G39" s="35" t="s">
        <v>125</v>
      </c>
      <c r="H39" s="36" t="str">
        <f>B41</f>
        <v>20 min</v>
      </c>
    </row>
    <row r="40" ht="15.75" customHeight="1">
      <c r="G40" s="28" t="s">
        <v>164</v>
      </c>
    </row>
    <row r="41" ht="15.75" customHeight="1">
      <c r="A41" s="33" t="s">
        <v>136</v>
      </c>
      <c r="B41" s="32" t="s">
        <v>153</v>
      </c>
      <c r="C41" s="21"/>
      <c r="D41" s="21"/>
      <c r="E41" s="21"/>
      <c r="F41" s="21"/>
      <c r="G41" s="21"/>
      <c r="H41" s="22"/>
    </row>
    <row r="42" ht="15.75" customHeight="1"/>
    <row r="43" ht="15.75" customHeight="1"/>
    <row r="44" ht="15.75" customHeight="1">
      <c r="A44" s="34" t="s">
        <v>165</v>
      </c>
      <c r="G44" s="35" t="s">
        <v>125</v>
      </c>
      <c r="H44" s="36" t="str">
        <f>B47</f>
        <v>15 min</v>
      </c>
    </row>
    <row r="45" ht="15.75" customHeight="1">
      <c r="G45" s="28" t="s">
        <v>127</v>
      </c>
    </row>
    <row r="46" ht="15.75" customHeight="1">
      <c r="A46" s="29" t="s">
        <v>166</v>
      </c>
      <c r="B46" s="30" t="s">
        <v>167</v>
      </c>
      <c r="C46" s="21"/>
      <c r="D46" s="21"/>
      <c r="E46" s="21"/>
      <c r="F46" s="21"/>
      <c r="G46" s="21"/>
      <c r="H46" s="22"/>
    </row>
    <row r="47" ht="15.75" customHeight="1">
      <c r="A47" s="33" t="s">
        <v>136</v>
      </c>
      <c r="B47" s="32" t="s">
        <v>168</v>
      </c>
      <c r="C47" s="21"/>
      <c r="D47" s="21"/>
      <c r="E47" s="21"/>
      <c r="F47" s="21"/>
      <c r="G47" s="21"/>
      <c r="H47" s="2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11:H11"/>
    <mergeCell ref="B12:H12"/>
    <mergeCell ref="B13:H13"/>
    <mergeCell ref="B14:H14"/>
    <mergeCell ref="A1:A6"/>
    <mergeCell ref="C5:G5"/>
    <mergeCell ref="C6:G6"/>
    <mergeCell ref="K8:N17"/>
    <mergeCell ref="A9:F9"/>
    <mergeCell ref="G10:I10"/>
    <mergeCell ref="C4:G4"/>
    <mergeCell ref="B15:H15"/>
    <mergeCell ref="K19:N25"/>
    <mergeCell ref="B22:H22"/>
    <mergeCell ref="B21:H21"/>
    <mergeCell ref="B20:H20"/>
    <mergeCell ref="G19:I19"/>
    <mergeCell ref="A18:F18"/>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34"/>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8" t="s">
        <v>169</v>
      </c>
    </row>
    <row r="3" ht="15.75" customHeight="1"/>
    <row r="4" ht="15.75" customHeight="1">
      <c r="B4" s="19" t="s">
        <v>1</v>
      </c>
      <c r="C4" s="39" t="str">
        <f>'Diseño'!C4</f>
        <v>786 - Sistemas Organizacionales y Gerenciales 1</v>
      </c>
      <c r="D4" s="21"/>
      <c r="E4" s="21"/>
      <c r="F4" s="21"/>
      <c r="G4" s="22"/>
    </row>
    <row r="5" ht="15.75" customHeight="1">
      <c r="B5" s="23" t="s">
        <v>11</v>
      </c>
      <c r="C5" s="20">
        <v>2.0</v>
      </c>
      <c r="D5" s="21"/>
      <c r="E5" s="21"/>
      <c r="F5" s="21"/>
      <c r="G5" s="22"/>
    </row>
    <row r="6" ht="15.75" customHeight="1">
      <c r="B6" s="40" t="s">
        <v>122</v>
      </c>
      <c r="C6" s="20">
        <f>H10+H21+H44+H68</f>
        <v>115</v>
      </c>
      <c r="D6" s="21"/>
      <c r="E6" s="21"/>
      <c r="F6" s="21"/>
      <c r="G6" s="22"/>
      <c r="I6" s="5"/>
    </row>
    <row r="7" ht="15.75" customHeight="1">
      <c r="B7" s="40" t="s">
        <v>170</v>
      </c>
      <c r="C7" s="20">
        <f>B49+B60</f>
        <v>0</v>
      </c>
      <c r="D7" s="21"/>
      <c r="E7" s="21"/>
      <c r="F7" s="21"/>
      <c r="G7" s="22"/>
    </row>
    <row r="8" ht="15.75" customHeight="1">
      <c r="B8" s="40" t="s">
        <v>171</v>
      </c>
      <c r="C8" s="41"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5"/>
      <c r="J8" s="5"/>
      <c r="K8" s="5"/>
    </row>
    <row r="9" ht="15.75" customHeight="1"/>
    <row r="10" ht="15.75" customHeight="1">
      <c r="A10" s="42" t="s">
        <v>172</v>
      </c>
      <c r="G10" s="35" t="s">
        <v>125</v>
      </c>
      <c r="H10" s="43">
        <f>B13</f>
        <v>5</v>
      </c>
    </row>
    <row r="11" ht="15.75" customHeight="1">
      <c r="G11" s="28" t="s">
        <v>173</v>
      </c>
    </row>
    <row r="12" ht="15.75" customHeight="1">
      <c r="A12" s="31" t="s">
        <v>174</v>
      </c>
      <c r="B12" s="32" t="s">
        <v>175</v>
      </c>
      <c r="C12" s="21"/>
      <c r="D12" s="21"/>
      <c r="E12" s="21"/>
      <c r="F12" s="21"/>
      <c r="G12" s="21"/>
      <c r="H12" s="22"/>
    </row>
    <row r="13" ht="15.75" customHeight="1">
      <c r="A13" s="33" t="s">
        <v>125</v>
      </c>
      <c r="B13" s="32">
        <v>5.0</v>
      </c>
      <c r="C13" s="21"/>
      <c r="D13" s="21"/>
      <c r="E13" s="21"/>
      <c r="F13" s="21"/>
      <c r="G13" s="21"/>
      <c r="H13" s="22"/>
    </row>
    <row r="14" ht="15.75" customHeight="1">
      <c r="A14" s="44" t="s">
        <v>176</v>
      </c>
      <c r="B14" s="21"/>
      <c r="C14" s="21"/>
      <c r="D14" s="21"/>
      <c r="E14" s="21"/>
      <c r="F14" s="21"/>
      <c r="G14" s="21"/>
      <c r="H14" s="22"/>
    </row>
    <row r="15" ht="15.75" customHeight="1">
      <c r="A15" s="45" t="s">
        <v>177</v>
      </c>
      <c r="B15" s="46"/>
      <c r="C15" s="46"/>
      <c r="D15" s="46"/>
      <c r="E15" s="46"/>
      <c r="F15" s="46"/>
      <c r="G15" s="46"/>
      <c r="H15" s="47"/>
    </row>
    <row r="16" ht="15.75" customHeight="1">
      <c r="A16" s="48"/>
      <c r="B16" s="49"/>
      <c r="C16" s="49"/>
      <c r="D16" s="49"/>
      <c r="E16" s="49"/>
      <c r="F16" s="49"/>
      <c r="G16" s="49"/>
      <c r="H16" s="50"/>
    </row>
    <row r="17" ht="15.75" customHeight="1">
      <c r="A17" s="44" t="s">
        <v>178</v>
      </c>
      <c r="B17" s="21"/>
      <c r="C17" s="21"/>
      <c r="D17" s="21"/>
      <c r="E17" s="21"/>
      <c r="F17" s="21"/>
      <c r="G17" s="21"/>
      <c r="H17" s="22"/>
    </row>
    <row r="18" ht="15.75" customHeight="1">
      <c r="A18" s="45" t="s">
        <v>179</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180</v>
      </c>
      <c r="G21" s="35" t="s">
        <v>125</v>
      </c>
      <c r="H21" s="51">
        <f>SUM(D39:H42)</f>
        <v>55</v>
      </c>
      <c r="I21" s="5"/>
    </row>
    <row r="22" ht="15.75" customHeight="1">
      <c r="G22" s="28" t="s">
        <v>181</v>
      </c>
    </row>
    <row r="23" ht="15.75" customHeight="1">
      <c r="A23" s="31" t="s">
        <v>182</v>
      </c>
      <c r="B23" s="32" t="s">
        <v>12</v>
      </c>
      <c r="C23" s="21"/>
      <c r="D23" s="21"/>
      <c r="E23" s="21"/>
      <c r="F23" s="21"/>
      <c r="G23" s="21"/>
      <c r="H23" s="22"/>
    </row>
    <row r="24" ht="15.75" customHeight="1">
      <c r="A24" s="31" t="s">
        <v>182</v>
      </c>
      <c r="B24" s="32" t="s">
        <v>22</v>
      </c>
      <c r="C24" s="21"/>
      <c r="D24" s="21"/>
      <c r="E24" s="21"/>
      <c r="F24" s="21"/>
      <c r="G24" s="21"/>
      <c r="H24" s="22"/>
    </row>
    <row r="25" ht="15.75" customHeight="1"/>
    <row r="26" ht="15.75" customHeight="1">
      <c r="A26" s="52" t="s">
        <v>183</v>
      </c>
      <c r="B26" s="5"/>
      <c r="C26" s="5"/>
      <c r="D26" s="5"/>
    </row>
    <row r="27" ht="15.75" customHeight="1">
      <c r="A27" s="53" t="s">
        <v>5</v>
      </c>
      <c r="B27" s="54" t="s">
        <v>184</v>
      </c>
      <c r="C27" s="22"/>
      <c r="D27" s="54" t="s">
        <v>185</v>
      </c>
      <c r="E27" s="22"/>
      <c r="F27" s="54" t="s">
        <v>186</v>
      </c>
      <c r="G27" s="21"/>
      <c r="H27" s="22"/>
    </row>
    <row r="28" ht="15.75" customHeight="1">
      <c r="A28" s="23">
        <v>1.0</v>
      </c>
      <c r="B28" s="20">
        <f>IFERROR(__xludf.DUMMYFUNCTION("FILTER('Diseño'!D:D,'Diseño'!H:H=$C$5)"),1.0)</f>
        <v>1</v>
      </c>
      <c r="C28" s="22"/>
      <c r="D28" s="20" t="str">
        <f>IFERROR(__xludf.DUMMYFUNCTION("FILTER('Diseño'!E:E,'Diseño'!H:H=$C$5)"),"Evolución del sistema de información")</f>
        <v>Evolución del sistema de información</v>
      </c>
      <c r="E28" s="22"/>
      <c r="F28" s="20" t="str">
        <f>IFERROR(__xludf.DUMMYFUNCTION("FILTER('Diseño'!F:F,'Diseño'!H:H=$C$5)"),"Definición de sistema de información")</f>
        <v>Definición de sistema de información</v>
      </c>
      <c r="G28" s="21"/>
      <c r="H28" s="22"/>
    </row>
    <row r="29" ht="15.75" customHeight="1">
      <c r="A29" s="23">
        <v>2.0</v>
      </c>
      <c r="B29" s="20">
        <f>IFERROR(__xludf.DUMMYFUNCTION("""COMPUTED_VALUE"""),1.0)</f>
        <v>1</v>
      </c>
      <c r="C29" s="22"/>
      <c r="D29" s="20" t="str">
        <f>IFERROR(__xludf.DUMMYFUNCTION("""COMPUTED_VALUE"""),"Evolución del sistema de información")</f>
        <v>Evolución del sistema de información</v>
      </c>
      <c r="E29" s="22"/>
      <c r="F29" s="20" t="str">
        <f>IFERROR(__xludf.DUMMYFUNCTION("""COMPUTED_VALUE"""),"Historia de los sistemas de información")</f>
        <v>Historia de los sistemas de información</v>
      </c>
      <c r="G29" s="21"/>
      <c r="H29" s="22"/>
    </row>
    <row r="30" ht="15.75" customHeight="1">
      <c r="A30" s="23">
        <v>3.0</v>
      </c>
      <c r="B30" s="20">
        <f>IFERROR(__xludf.DUMMYFUNCTION("""COMPUTED_VALUE"""),1.0)</f>
        <v>1</v>
      </c>
      <c r="C30" s="22"/>
      <c r="D30" s="20" t="str">
        <f>IFERROR(__xludf.DUMMYFUNCTION("""COMPUTED_VALUE"""),"Evolución del sistema de información")</f>
        <v>Evolución del sistema de información</v>
      </c>
      <c r="E30" s="22"/>
      <c r="F30" s="20" t="str">
        <f>IFERROR(__xludf.DUMMYFUNCTION("""COMPUTED_VALUE"""),"Tipos de sistemas de información")</f>
        <v>Tipos de sistemas de información</v>
      </c>
      <c r="G30" s="21"/>
      <c r="H30" s="22"/>
    </row>
    <row r="31" ht="15.75" customHeight="1">
      <c r="A31" s="23">
        <v>4.0</v>
      </c>
      <c r="B31" s="20">
        <f>IFERROR(__xludf.DUMMYFUNCTION("""COMPUTED_VALUE"""),1.0)</f>
        <v>1</v>
      </c>
      <c r="C31" s="22"/>
      <c r="D31" s="20" t="str">
        <f>IFERROR(__xludf.DUMMYFUNCTION("""COMPUTED_VALUE"""),"Evolución del sistema de información")</f>
        <v>Evolución del sistema de información</v>
      </c>
      <c r="E31" s="22"/>
      <c r="F31" s="20" t="str">
        <f>IFERROR(__xludf.DUMMYFUNCTION("""COMPUTED_VALUE"""),"Importancia en la empresa")</f>
        <v>Importancia en la empresa</v>
      </c>
      <c r="G31" s="21"/>
      <c r="H31" s="22"/>
    </row>
    <row r="32" ht="15.75" customHeight="1">
      <c r="A32" s="23">
        <v>5.0</v>
      </c>
      <c r="B32" s="20">
        <f>IFERROR(__xludf.DUMMYFUNCTION("""COMPUTED_VALUE"""),1.0)</f>
        <v>1</v>
      </c>
      <c r="C32" s="22"/>
      <c r="D32" s="20" t="str">
        <f>IFERROR(__xludf.DUMMYFUNCTION("""COMPUTED_VALUE"""),"Evolución del sistema de información")</f>
        <v>Evolución del sistema de información</v>
      </c>
      <c r="E32" s="22"/>
      <c r="F32" s="20" t="str">
        <f>IFERROR(__xludf.DUMMYFUNCTION("""COMPUTED_VALUE"""),"Desafíos actuales")</f>
        <v>Desafíos actuales</v>
      </c>
      <c r="G32" s="21"/>
      <c r="H32" s="22"/>
    </row>
    <row r="33" ht="15.75" customHeight="1">
      <c r="A33" s="23">
        <v>6.0</v>
      </c>
      <c r="B33" s="20">
        <f>IFERROR(__xludf.DUMMYFUNCTION("""COMPUTED_VALUE"""),1.0)</f>
        <v>1</v>
      </c>
      <c r="C33" s="22"/>
      <c r="D33" s="20" t="str">
        <f>IFERROR(__xludf.DUMMYFUNCTION("""COMPUTED_VALUE"""),"Evolución del sistema de información")</f>
        <v>Evolución del sistema de información</v>
      </c>
      <c r="E33" s="22"/>
      <c r="F33" s="20" t="str">
        <f>IFERROR(__xludf.DUMMYFUNCTION("""COMPUTED_VALUE"""),"Ejemplos de sistemas en empresas")</f>
        <v>Ejemplos de sistemas en empresas</v>
      </c>
      <c r="G33" s="21"/>
      <c r="H33" s="22"/>
    </row>
    <row r="34" ht="15.75" customHeight="1">
      <c r="A34" s="23">
        <v>7.0</v>
      </c>
      <c r="B34" s="20">
        <f>IFERROR(__xludf.DUMMYFUNCTION("""COMPUTED_VALUE"""),1.0)</f>
        <v>1</v>
      </c>
      <c r="C34" s="22"/>
      <c r="D34" s="20" t="str">
        <f>IFERROR(__xludf.DUMMYFUNCTION("""COMPUTED_VALUE"""),"Evolución del sistema de información")</f>
        <v>Evolución del sistema de información</v>
      </c>
      <c r="E34" s="22"/>
      <c r="F34" s="20" t="str">
        <f>IFERROR(__xludf.DUMMYFUNCTION("""COMPUTED_VALUE"""),"Futuro de los sistemas de información")</f>
        <v>Futuro de los sistemas de información</v>
      </c>
      <c r="G34" s="21"/>
      <c r="H34" s="22"/>
    </row>
    <row r="35" ht="15.75" customHeight="1">
      <c r="B35" s="55">
        <f>IFERROR(__xludf.DUMMYFUNCTION("""COMPUTED_VALUE"""),1.0)</f>
        <v>1</v>
      </c>
      <c r="D35" s="55" t="str">
        <f>IFERROR(__xludf.DUMMYFUNCTION("""COMPUTED_VALUE"""),"Gestión de recursos de información")</f>
        <v>Gestión de recursos de información</v>
      </c>
      <c r="F35" s="55" t="str">
        <f>IFERROR(__xludf.DUMMYFUNCTION("""COMPUTED_VALUE"""),"Fuentes de información")</f>
        <v>Fuentes de información</v>
      </c>
    </row>
    <row r="36" ht="15.75" customHeight="1">
      <c r="A36" s="52" t="s">
        <v>187</v>
      </c>
      <c r="B36" s="55">
        <f>IFERROR(__xludf.DUMMYFUNCTION("""COMPUTED_VALUE"""),1.0)</f>
        <v>1</v>
      </c>
      <c r="D36" s="55" t="str">
        <f>IFERROR(__xludf.DUMMYFUNCTION("""COMPUTED_VALUE"""),"Gestión de recursos de información")</f>
        <v>Gestión de recursos de información</v>
      </c>
      <c r="F36" s="55" t="str">
        <f>IFERROR(__xludf.DUMMYFUNCTION("""COMPUTED_VALUE"""),"Clasificación de la información")</f>
        <v>Clasificación de la información</v>
      </c>
    </row>
    <row r="37" ht="15.75" customHeight="1">
      <c r="A37" s="5"/>
      <c r="B37" s="5"/>
      <c r="C37" s="5"/>
      <c r="D37" s="5"/>
      <c r="E37" s="5"/>
      <c r="F37" s="5"/>
      <c r="G37" s="5"/>
      <c r="H37" s="5"/>
    </row>
    <row r="38" ht="15.75" customHeight="1">
      <c r="A38" s="53" t="s">
        <v>188</v>
      </c>
      <c r="B38" s="53" t="s">
        <v>189</v>
      </c>
      <c r="C38" s="56" t="s">
        <v>190</v>
      </c>
      <c r="D38" s="57" t="s">
        <v>125</v>
      </c>
      <c r="E38" s="21"/>
      <c r="F38" s="21"/>
      <c r="G38" s="21"/>
      <c r="H38" s="22"/>
    </row>
    <row r="39" ht="15.75" customHeight="1">
      <c r="A39" s="23" t="s">
        <v>191</v>
      </c>
      <c r="B39" s="23" t="s">
        <v>192</v>
      </c>
      <c r="C39" s="58" t="s">
        <v>193</v>
      </c>
      <c r="D39" s="32">
        <v>10.0</v>
      </c>
      <c r="E39" s="21"/>
      <c r="F39" s="21"/>
      <c r="G39" s="21"/>
      <c r="H39" s="22"/>
    </row>
    <row r="40" ht="15.75" customHeight="1">
      <c r="A40" s="23" t="s">
        <v>194</v>
      </c>
      <c r="B40" s="23" t="s">
        <v>192</v>
      </c>
      <c r="C40" s="23" t="s">
        <v>195</v>
      </c>
      <c r="D40" s="32">
        <v>5.0</v>
      </c>
      <c r="E40" s="21"/>
      <c r="F40" s="21"/>
      <c r="G40" s="21"/>
      <c r="H40" s="22"/>
    </row>
    <row r="41" ht="15.75" customHeight="1">
      <c r="A41" s="23" t="s">
        <v>196</v>
      </c>
      <c r="B41" s="23" t="s">
        <v>197</v>
      </c>
      <c r="C41" s="58" t="s">
        <v>198</v>
      </c>
      <c r="D41" s="32">
        <v>25.0</v>
      </c>
      <c r="E41" s="21"/>
      <c r="F41" s="21"/>
      <c r="G41" s="21"/>
      <c r="H41" s="22"/>
    </row>
    <row r="42" ht="15.75" customHeight="1">
      <c r="A42" s="23" t="s">
        <v>199</v>
      </c>
      <c r="B42" s="23" t="s">
        <v>192</v>
      </c>
      <c r="C42" s="58" t="s">
        <v>200</v>
      </c>
      <c r="D42" s="32">
        <v>15.0</v>
      </c>
      <c r="E42" s="21"/>
      <c r="F42" s="21"/>
      <c r="G42" s="21"/>
      <c r="H42" s="22"/>
    </row>
    <row r="43" ht="15.75" customHeight="1"/>
    <row r="44" ht="15.75" customHeight="1">
      <c r="A44" s="42" t="s">
        <v>201</v>
      </c>
      <c r="G44" s="35" t="s">
        <v>125</v>
      </c>
      <c r="H44" s="51">
        <f>B50</f>
        <v>40</v>
      </c>
    </row>
    <row r="45" ht="15.75" customHeight="1">
      <c r="G45" s="28" t="s">
        <v>202</v>
      </c>
    </row>
    <row r="46" ht="15.75" customHeight="1">
      <c r="A46" s="28" t="s">
        <v>203</v>
      </c>
    </row>
    <row r="47">
      <c r="A47" s="31" t="s">
        <v>204</v>
      </c>
      <c r="B47" s="32" t="s">
        <v>22</v>
      </c>
      <c r="C47" s="21"/>
      <c r="D47" s="21"/>
      <c r="E47" s="21"/>
      <c r="F47" s="21"/>
      <c r="G47" s="21"/>
      <c r="H47" s="22"/>
    </row>
    <row r="48" ht="15.75" customHeight="1">
      <c r="A48" s="31" t="s">
        <v>205</v>
      </c>
      <c r="B48" s="32" t="s">
        <v>206</v>
      </c>
      <c r="C48" s="21"/>
      <c r="D48" s="21"/>
      <c r="E48" s="21"/>
      <c r="F48" s="21"/>
      <c r="G48" s="21"/>
      <c r="H48" s="22"/>
    </row>
    <row r="49" ht="15.75" customHeight="1">
      <c r="A49" s="31" t="s">
        <v>170</v>
      </c>
      <c r="B49" s="32">
        <v>0.0</v>
      </c>
      <c r="C49" s="21"/>
      <c r="D49" s="21"/>
      <c r="E49" s="21"/>
      <c r="F49" s="21"/>
      <c r="G49" s="21"/>
      <c r="H49" s="22"/>
    </row>
    <row r="50" ht="15.75" customHeight="1">
      <c r="A50" s="31" t="s">
        <v>125</v>
      </c>
      <c r="B50" s="32">
        <v>40.0</v>
      </c>
      <c r="C50" s="21"/>
      <c r="D50" s="21"/>
      <c r="E50" s="21"/>
      <c r="F50" s="21"/>
      <c r="G50" s="21"/>
      <c r="H50" s="22"/>
    </row>
    <row r="51" ht="15.75" customHeight="1">
      <c r="A51" s="59" t="s">
        <v>207</v>
      </c>
      <c r="B51" s="5"/>
      <c r="C51" s="5"/>
      <c r="D51" s="5"/>
      <c r="E51" s="5"/>
      <c r="F51" s="5"/>
      <c r="G51" s="5"/>
      <c r="H51" s="5"/>
    </row>
    <row r="52" ht="15.75" customHeight="1">
      <c r="A52" s="44" t="s">
        <v>208</v>
      </c>
      <c r="B52" s="21"/>
      <c r="C52" s="21"/>
      <c r="D52" s="21"/>
      <c r="E52" s="21"/>
      <c r="F52" s="21"/>
      <c r="G52" s="21"/>
      <c r="H52" s="22"/>
    </row>
    <row r="53" ht="15.75" customHeight="1">
      <c r="A53" s="45" t="s">
        <v>209</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8" t="s">
        <v>210</v>
      </c>
    </row>
    <row r="58">
      <c r="A58" s="31" t="s">
        <v>204</v>
      </c>
      <c r="B58" s="20"/>
      <c r="C58" s="21"/>
      <c r="D58" s="21"/>
      <c r="E58" s="21"/>
      <c r="F58" s="21"/>
      <c r="G58" s="21"/>
      <c r="H58" s="22"/>
    </row>
    <row r="59" ht="15.75" customHeight="1">
      <c r="A59" s="31" t="s">
        <v>205</v>
      </c>
      <c r="B59" s="20"/>
      <c r="C59" s="21"/>
      <c r="D59" s="21"/>
      <c r="E59" s="21"/>
      <c r="F59" s="21"/>
      <c r="G59" s="21"/>
      <c r="H59" s="22"/>
    </row>
    <row r="60" ht="15.75" customHeight="1">
      <c r="A60" s="31" t="s">
        <v>170</v>
      </c>
      <c r="B60" s="62"/>
      <c r="C60" s="21"/>
      <c r="D60" s="21"/>
      <c r="E60" s="21"/>
      <c r="F60" s="21"/>
      <c r="G60" s="21"/>
      <c r="H60" s="22"/>
    </row>
    <row r="61" ht="15.75" customHeight="1">
      <c r="A61" s="31" t="s">
        <v>125</v>
      </c>
      <c r="B61" s="62"/>
      <c r="C61" s="21"/>
      <c r="D61" s="21"/>
      <c r="E61" s="21"/>
      <c r="F61" s="21"/>
      <c r="G61" s="21"/>
      <c r="H61" s="22"/>
    </row>
    <row r="62" ht="15.75" customHeight="1">
      <c r="A62" s="63" t="s">
        <v>211</v>
      </c>
      <c r="B62" s="5"/>
      <c r="C62" s="5"/>
      <c r="D62" s="5"/>
      <c r="E62" s="5"/>
      <c r="F62" s="5"/>
      <c r="G62" s="5"/>
      <c r="H62" s="5"/>
    </row>
    <row r="63" ht="15.75" customHeight="1">
      <c r="A63" s="44" t="s">
        <v>208</v>
      </c>
      <c r="B63" s="21"/>
      <c r="C63" s="21"/>
      <c r="D63" s="21"/>
      <c r="E63" s="21"/>
      <c r="F63" s="21"/>
      <c r="G63" s="21"/>
      <c r="H63" s="22"/>
    </row>
    <row r="64" ht="15.75" customHeight="1">
      <c r="A64" s="64"/>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212</v>
      </c>
      <c r="G68" s="35" t="s">
        <v>125</v>
      </c>
      <c r="H68" s="51">
        <v>15.0</v>
      </c>
    </row>
    <row r="69" ht="15.75" customHeight="1">
      <c r="G69" s="28" t="s">
        <v>213</v>
      </c>
    </row>
    <row r="70" ht="15.75" customHeight="1">
      <c r="A70" s="31" t="s">
        <v>125</v>
      </c>
      <c r="B70" s="65">
        <v>10.0</v>
      </c>
      <c r="C70" s="21"/>
      <c r="D70" s="21"/>
      <c r="E70" s="21"/>
      <c r="F70" s="21"/>
      <c r="G70" s="21"/>
      <c r="H70" s="22"/>
    </row>
    <row r="71" ht="15.75" customHeight="1">
      <c r="A71" s="57" t="s">
        <v>214</v>
      </c>
      <c r="B71" s="21"/>
      <c r="C71" s="21"/>
      <c r="D71" s="21"/>
      <c r="E71" s="21"/>
      <c r="F71" s="21"/>
      <c r="G71" s="21"/>
      <c r="H71" s="22"/>
    </row>
    <row r="72" ht="15.75" customHeight="1">
      <c r="A72" s="45" t="s">
        <v>215</v>
      </c>
      <c r="B72" s="46"/>
      <c r="C72" s="46"/>
      <c r="D72" s="46"/>
      <c r="E72" s="46"/>
      <c r="F72" s="46"/>
      <c r="G72" s="46"/>
      <c r="H72" s="47"/>
    </row>
    <row r="73" ht="15.75" customHeight="1">
      <c r="A73" s="48"/>
      <c r="B73" s="49"/>
      <c r="C73" s="49"/>
      <c r="D73" s="49"/>
      <c r="E73" s="49"/>
      <c r="F73" s="49"/>
      <c r="G73" s="49"/>
      <c r="H73" s="50"/>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8" t="s">
        <v>169</v>
      </c>
    </row>
    <row r="3" ht="15.75" customHeight="1"/>
    <row r="4" ht="15.75" customHeight="1">
      <c r="B4" s="19" t="s">
        <v>1</v>
      </c>
      <c r="C4" s="39" t="str">
        <f>'Diseño'!C4</f>
        <v>786 - Sistemas Organizacionales y Gerenciales 1</v>
      </c>
      <c r="D4" s="21"/>
      <c r="E4" s="21"/>
      <c r="F4" s="21"/>
      <c r="G4" s="22"/>
    </row>
    <row r="5" ht="15.75" customHeight="1">
      <c r="B5" s="23" t="s">
        <v>11</v>
      </c>
      <c r="C5" s="32">
        <v>3.0</v>
      </c>
      <c r="D5" s="21"/>
      <c r="E5" s="21"/>
      <c r="F5" s="21"/>
      <c r="G5" s="22"/>
    </row>
    <row r="6" ht="15.75" customHeight="1">
      <c r="B6" s="40" t="s">
        <v>122</v>
      </c>
      <c r="C6" s="20">
        <f>H10+H21+H44+H68</f>
        <v>115</v>
      </c>
      <c r="D6" s="21"/>
      <c r="E6" s="21"/>
      <c r="F6" s="21"/>
      <c r="G6" s="22"/>
      <c r="I6" s="5"/>
    </row>
    <row r="7" ht="15.75" customHeight="1">
      <c r="B7" s="40" t="s">
        <v>170</v>
      </c>
      <c r="C7" s="20">
        <f>B49+B60</f>
        <v>0</v>
      </c>
      <c r="D7" s="21"/>
      <c r="E7" s="21"/>
      <c r="F7" s="21"/>
      <c r="G7" s="22"/>
    </row>
    <row r="8" ht="15.75" customHeight="1">
      <c r="B8" s="40" t="s">
        <v>171</v>
      </c>
      <c r="C8" s="41"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5"/>
      <c r="J8" s="5"/>
      <c r="K8" s="5"/>
    </row>
    <row r="9" ht="15.75" customHeight="1"/>
    <row r="10" ht="15.75" customHeight="1">
      <c r="A10" s="42" t="s">
        <v>172</v>
      </c>
      <c r="G10" s="35" t="s">
        <v>125</v>
      </c>
      <c r="H10" s="43">
        <f>B13</f>
        <v>5</v>
      </c>
    </row>
    <row r="11" ht="15.75" customHeight="1">
      <c r="G11" s="28" t="s">
        <v>173</v>
      </c>
    </row>
    <row r="12" ht="15.75" customHeight="1">
      <c r="A12" s="31" t="s">
        <v>174</v>
      </c>
      <c r="B12" s="32" t="s">
        <v>217</v>
      </c>
      <c r="C12" s="21"/>
      <c r="D12" s="21"/>
      <c r="E12" s="21"/>
      <c r="F12" s="21"/>
      <c r="G12" s="21"/>
      <c r="H12" s="22"/>
    </row>
    <row r="13" ht="15.75" customHeight="1">
      <c r="A13" s="33" t="s">
        <v>125</v>
      </c>
      <c r="B13" s="32">
        <v>5.0</v>
      </c>
      <c r="C13" s="21"/>
      <c r="D13" s="21"/>
      <c r="E13" s="21"/>
      <c r="F13" s="21"/>
      <c r="G13" s="21"/>
      <c r="H13" s="22"/>
    </row>
    <row r="14" ht="15.75" customHeight="1">
      <c r="A14" s="44" t="s">
        <v>176</v>
      </c>
      <c r="B14" s="21"/>
      <c r="C14" s="21"/>
      <c r="D14" s="21"/>
      <c r="E14" s="21"/>
      <c r="F14" s="21"/>
      <c r="G14" s="21"/>
      <c r="H14" s="22"/>
    </row>
    <row r="15" ht="15.75" customHeight="1">
      <c r="A15" s="45" t="s">
        <v>218</v>
      </c>
      <c r="B15" s="46"/>
      <c r="C15" s="46"/>
      <c r="D15" s="46"/>
      <c r="E15" s="46"/>
      <c r="F15" s="46"/>
      <c r="G15" s="46"/>
      <c r="H15" s="47"/>
    </row>
    <row r="16" ht="15.75" customHeight="1">
      <c r="A16" s="48"/>
      <c r="B16" s="49"/>
      <c r="C16" s="49"/>
      <c r="D16" s="49"/>
      <c r="E16" s="49"/>
      <c r="F16" s="49"/>
      <c r="G16" s="49"/>
      <c r="H16" s="50"/>
    </row>
    <row r="17" ht="15.75" customHeight="1">
      <c r="A17" s="44" t="s">
        <v>178</v>
      </c>
      <c r="B17" s="21"/>
      <c r="C17" s="21"/>
      <c r="D17" s="21"/>
      <c r="E17" s="21"/>
      <c r="F17" s="21"/>
      <c r="G17" s="21"/>
      <c r="H17" s="22"/>
    </row>
    <row r="18" ht="15.75" customHeight="1">
      <c r="A18" s="45" t="s">
        <v>219</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180</v>
      </c>
      <c r="G21" s="35" t="s">
        <v>125</v>
      </c>
      <c r="H21" s="51">
        <f>SUM(D39:H42)</f>
        <v>55</v>
      </c>
      <c r="I21" s="5"/>
    </row>
    <row r="22" ht="15.75" customHeight="1">
      <c r="G22" s="28" t="s">
        <v>181</v>
      </c>
    </row>
    <row r="23" ht="15.75" customHeight="1">
      <c r="A23" s="31" t="s">
        <v>182</v>
      </c>
      <c r="B23" s="32" t="s">
        <v>12</v>
      </c>
      <c r="C23" s="21"/>
      <c r="D23" s="21"/>
      <c r="E23" s="21"/>
      <c r="F23" s="21"/>
      <c r="G23" s="21"/>
      <c r="H23" s="22"/>
    </row>
    <row r="24" ht="15.75" customHeight="1">
      <c r="A24" s="31" t="s">
        <v>182</v>
      </c>
      <c r="B24" s="32" t="s">
        <v>22</v>
      </c>
      <c r="C24" s="21"/>
      <c r="D24" s="21"/>
      <c r="E24" s="21"/>
      <c r="F24" s="21"/>
      <c r="G24" s="21"/>
      <c r="H24" s="22"/>
    </row>
    <row r="25" ht="15.75" customHeight="1"/>
    <row r="26" ht="15.75" customHeight="1">
      <c r="A26" s="52" t="s">
        <v>183</v>
      </c>
      <c r="B26" s="5"/>
      <c r="C26" s="5"/>
      <c r="D26" s="5"/>
    </row>
    <row r="27" ht="15.75" customHeight="1">
      <c r="A27" s="53" t="s">
        <v>5</v>
      </c>
      <c r="B27" s="54" t="s">
        <v>184</v>
      </c>
      <c r="C27" s="22"/>
      <c r="D27" s="54" t="s">
        <v>185</v>
      </c>
      <c r="E27" s="22"/>
      <c r="F27" s="54" t="s">
        <v>186</v>
      </c>
      <c r="G27" s="21"/>
      <c r="H27" s="22"/>
    </row>
    <row r="28" ht="15.75" customHeight="1">
      <c r="A28" s="23">
        <v>1.0</v>
      </c>
      <c r="B28" s="20">
        <f>IFERROR(__xludf.DUMMYFUNCTION("FILTER('Diseño'!D:D,'Diseño'!H:H=$C$5)"),1.0)</f>
        <v>1</v>
      </c>
      <c r="C28" s="22"/>
      <c r="D28" s="20" t="str">
        <f>IFERROR(__xludf.DUMMYFUNCTION("FILTER('Diseño'!E:E,'Diseño'!H:H=$C$5)"),"Gestión de recursos de información")</f>
        <v>Gestión de recursos de información</v>
      </c>
      <c r="E28" s="22"/>
      <c r="F28" s="20" t="str">
        <f>IFERROR(__xludf.DUMMYFUNCTION("FILTER('Diseño'!F:F,'Diseño'!H:H=$C$5)"),"Herramientas de gestión")</f>
        <v>Herramientas de gestión</v>
      </c>
      <c r="G28" s="21"/>
      <c r="H28" s="22"/>
    </row>
    <row r="29" ht="15.75" customHeight="1">
      <c r="A29" s="23">
        <v>2.0</v>
      </c>
      <c r="B29" s="20">
        <f>IFERROR(__xludf.DUMMYFUNCTION("""COMPUTED_VALUE"""),1.0)</f>
        <v>1</v>
      </c>
      <c r="C29" s="22"/>
      <c r="D29" s="20" t="str">
        <f>IFERROR(__xludf.DUMMYFUNCTION("""COMPUTED_VALUE"""),"Gestión de recursos de información")</f>
        <v>Gestión de recursos de información</v>
      </c>
      <c r="E29" s="22"/>
      <c r="F29" s="20" t="str">
        <f>IFERROR(__xludf.DUMMYFUNCTION("""COMPUTED_VALUE"""),"Procesos de toma de decisiones")</f>
        <v>Procesos de toma de decisiones</v>
      </c>
      <c r="G29" s="21"/>
      <c r="H29" s="22"/>
    </row>
    <row r="30" ht="15.75" customHeight="1">
      <c r="A30" s="23">
        <v>3.0</v>
      </c>
      <c r="B30" s="20">
        <f>IFERROR(__xludf.DUMMYFUNCTION("""COMPUTED_VALUE"""),1.0)</f>
        <v>1</v>
      </c>
      <c r="C30" s="22"/>
      <c r="D30" s="20" t="str">
        <f>IFERROR(__xludf.DUMMYFUNCTION("""COMPUTED_VALUE"""),"Gestión de recursos de información")</f>
        <v>Gestión de recursos de información</v>
      </c>
      <c r="E30" s="22"/>
      <c r="F30" s="20" t="str">
        <f>IFERROR(__xludf.DUMMYFUNCTION("""COMPUTED_VALUE"""),"Ejemplos de gestión efectiva")</f>
        <v>Ejemplos de gestión efectiva</v>
      </c>
      <c r="G30" s="21"/>
      <c r="H30" s="22"/>
    </row>
    <row r="31" ht="15.75" customHeight="1">
      <c r="A31" s="23">
        <v>4.0</v>
      </c>
      <c r="B31" s="20">
        <f>IFERROR(__xludf.DUMMYFUNCTION("""COMPUTED_VALUE"""),1.0)</f>
        <v>1</v>
      </c>
      <c r="C31" s="22"/>
      <c r="D31" s="20" t="str">
        <f>IFERROR(__xludf.DUMMYFUNCTION("""COMPUTED_VALUE"""),"Gestión de recursos de información")</f>
        <v>Gestión de recursos de información</v>
      </c>
      <c r="E31" s="22"/>
      <c r="F31" s="20" t="str">
        <f>IFERROR(__xludf.DUMMYFUNCTION("""COMPUTED_VALUE"""),"Impacto en la organización")</f>
        <v>Impacto en la organización</v>
      </c>
      <c r="G31" s="21"/>
      <c r="H31" s="22"/>
    </row>
    <row r="32" ht="15.75" customHeight="1">
      <c r="A32" s="23">
        <v>5.0</v>
      </c>
      <c r="B32" s="20">
        <f>IFERROR(__xludf.DUMMYFUNCTION("""COMPUTED_VALUE"""),1.0)</f>
        <v>1</v>
      </c>
      <c r="C32" s="22"/>
      <c r="D32" s="20" t="str">
        <f>IFERROR(__xludf.DUMMYFUNCTION("""COMPUTED_VALUE"""),"Gestión de recursos de información")</f>
        <v>Gestión de recursos de información</v>
      </c>
      <c r="E32" s="22"/>
      <c r="F32" s="20" t="str">
        <f>IFERROR(__xludf.DUMMYFUNCTION("""COMPUTED_VALUE"""),"Estudio de caso")</f>
        <v>Estudio de caso</v>
      </c>
      <c r="G32" s="21"/>
      <c r="H32" s="22"/>
    </row>
    <row r="33" ht="15.75" customHeight="1">
      <c r="A33" s="23">
        <v>6.0</v>
      </c>
      <c r="B33" s="20">
        <f>IFERROR(__xludf.DUMMYFUNCTION("""COMPUTED_VALUE"""),1.0)</f>
        <v>1</v>
      </c>
      <c r="C33" s="22"/>
      <c r="D33" s="20" t="str">
        <f>IFERROR(__xludf.DUMMYFUNCTION("""COMPUTED_VALUE"""),"Business Analytics")</f>
        <v>Business Analytics</v>
      </c>
      <c r="E33" s="22"/>
      <c r="F33" s="20" t="str">
        <f>IFERROR(__xludf.DUMMYFUNCTION("""COMPUTED_VALUE"""),"Definición de Business Analytics")</f>
        <v>Definición de Business Analytics</v>
      </c>
      <c r="G33" s="21"/>
      <c r="H33" s="22"/>
    </row>
    <row r="34" ht="15.75" customHeight="1">
      <c r="A34" s="23">
        <v>7.0</v>
      </c>
      <c r="B34" s="20">
        <f>IFERROR(__xludf.DUMMYFUNCTION("""COMPUTED_VALUE"""),1.0)</f>
        <v>1</v>
      </c>
      <c r="C34" s="22"/>
      <c r="D34" s="20" t="str">
        <f>IFERROR(__xludf.DUMMYFUNCTION("""COMPUTED_VALUE"""),"Business Analytics")</f>
        <v>Business Analytics</v>
      </c>
      <c r="E34" s="22"/>
      <c r="F34" s="20" t="str">
        <f>IFERROR(__xludf.DUMMYFUNCTION("""COMPUTED_VALUE"""),"Herramientas de análisis")</f>
        <v>Herramientas de análisis</v>
      </c>
      <c r="G34" s="21"/>
      <c r="H34" s="22"/>
    </row>
    <row r="35" ht="15.75" customHeight="1"/>
    <row r="36" ht="15.75" customHeight="1">
      <c r="A36" s="52" t="s">
        <v>187</v>
      </c>
    </row>
    <row r="37" ht="15.75" customHeight="1">
      <c r="A37" s="5"/>
      <c r="B37" s="5"/>
      <c r="C37" s="5"/>
      <c r="D37" s="5"/>
      <c r="E37" s="5"/>
      <c r="F37" s="5"/>
      <c r="G37" s="5"/>
      <c r="H37" s="5"/>
    </row>
    <row r="38" ht="15.75" customHeight="1">
      <c r="A38" s="53" t="s">
        <v>188</v>
      </c>
      <c r="B38" s="53" t="s">
        <v>189</v>
      </c>
      <c r="C38" s="56" t="s">
        <v>190</v>
      </c>
      <c r="D38" s="57" t="s">
        <v>125</v>
      </c>
      <c r="E38" s="21"/>
      <c r="F38" s="21"/>
      <c r="G38" s="21"/>
      <c r="H38" s="22"/>
    </row>
    <row r="39" ht="15.75" customHeight="1">
      <c r="A39" s="23" t="s">
        <v>191</v>
      </c>
      <c r="B39" s="23" t="s">
        <v>192</v>
      </c>
      <c r="C39" s="58" t="s">
        <v>193</v>
      </c>
      <c r="D39" s="32">
        <v>10.0</v>
      </c>
      <c r="E39" s="21"/>
      <c r="F39" s="21"/>
      <c r="G39" s="21"/>
      <c r="H39" s="22"/>
    </row>
    <row r="40" ht="15.75" customHeight="1">
      <c r="A40" s="23" t="s">
        <v>194</v>
      </c>
      <c r="B40" s="23" t="s">
        <v>192</v>
      </c>
      <c r="C40" s="23" t="s">
        <v>195</v>
      </c>
      <c r="D40" s="32">
        <v>5.0</v>
      </c>
      <c r="E40" s="21"/>
      <c r="F40" s="21"/>
      <c r="G40" s="21"/>
      <c r="H40" s="22"/>
    </row>
    <row r="41" ht="15.75" customHeight="1">
      <c r="A41" s="23" t="s">
        <v>196</v>
      </c>
      <c r="B41" s="23" t="s">
        <v>197</v>
      </c>
      <c r="C41" s="58" t="s">
        <v>198</v>
      </c>
      <c r="D41" s="32">
        <v>25.0</v>
      </c>
      <c r="E41" s="21"/>
      <c r="F41" s="21"/>
      <c r="G41" s="21"/>
      <c r="H41" s="22"/>
    </row>
    <row r="42" ht="15.75" customHeight="1">
      <c r="A42" s="23" t="s">
        <v>199</v>
      </c>
      <c r="B42" s="23" t="s">
        <v>192</v>
      </c>
      <c r="C42" s="58" t="s">
        <v>200</v>
      </c>
      <c r="D42" s="32">
        <v>15.0</v>
      </c>
      <c r="E42" s="21"/>
      <c r="F42" s="21"/>
      <c r="G42" s="21"/>
      <c r="H42" s="22"/>
    </row>
    <row r="43" ht="15.75" customHeight="1"/>
    <row r="44" ht="15.75" customHeight="1">
      <c r="A44" s="42" t="s">
        <v>201</v>
      </c>
      <c r="G44" s="35" t="s">
        <v>125</v>
      </c>
      <c r="H44" s="51">
        <f>B50</f>
        <v>40</v>
      </c>
    </row>
    <row r="45" ht="15.75" customHeight="1">
      <c r="G45" s="28" t="s">
        <v>202</v>
      </c>
    </row>
    <row r="46" ht="15.75" customHeight="1">
      <c r="A46" s="28" t="s">
        <v>203</v>
      </c>
    </row>
    <row r="47">
      <c r="A47" s="31" t="s">
        <v>204</v>
      </c>
      <c r="B47" s="32" t="s">
        <v>22</v>
      </c>
      <c r="C47" s="21"/>
      <c r="D47" s="21"/>
      <c r="E47" s="21"/>
      <c r="F47" s="21"/>
      <c r="G47" s="21"/>
      <c r="H47" s="22"/>
    </row>
    <row r="48" ht="15.75" customHeight="1">
      <c r="A48" s="31" t="s">
        <v>205</v>
      </c>
      <c r="B48" s="32" t="s">
        <v>220</v>
      </c>
      <c r="C48" s="21"/>
      <c r="D48" s="21"/>
      <c r="E48" s="21"/>
      <c r="F48" s="21"/>
      <c r="G48" s="21"/>
      <c r="H48" s="22"/>
    </row>
    <row r="49" ht="15.75" customHeight="1">
      <c r="A49" s="31" t="s">
        <v>170</v>
      </c>
      <c r="B49" s="32">
        <v>0.0</v>
      </c>
      <c r="C49" s="21"/>
      <c r="D49" s="21"/>
      <c r="E49" s="21"/>
      <c r="F49" s="21"/>
      <c r="G49" s="21"/>
      <c r="H49" s="22"/>
    </row>
    <row r="50" ht="15.75" customHeight="1">
      <c r="A50" s="31" t="s">
        <v>125</v>
      </c>
      <c r="B50" s="32">
        <v>40.0</v>
      </c>
      <c r="C50" s="21"/>
      <c r="D50" s="21"/>
      <c r="E50" s="21"/>
      <c r="F50" s="21"/>
      <c r="G50" s="21"/>
      <c r="H50" s="22"/>
    </row>
    <row r="51" ht="15.75" customHeight="1">
      <c r="A51" s="59" t="s">
        <v>207</v>
      </c>
      <c r="B51" s="5"/>
      <c r="C51" s="5"/>
      <c r="D51" s="5"/>
      <c r="E51" s="5"/>
      <c r="F51" s="5"/>
      <c r="G51" s="5"/>
      <c r="H51" s="5"/>
    </row>
    <row r="52" ht="15.75" customHeight="1">
      <c r="A52" s="44" t="s">
        <v>208</v>
      </c>
      <c r="B52" s="21"/>
      <c r="C52" s="21"/>
      <c r="D52" s="21"/>
      <c r="E52" s="21"/>
      <c r="F52" s="21"/>
      <c r="G52" s="21"/>
      <c r="H52" s="22"/>
    </row>
    <row r="53" ht="15.75" customHeight="1">
      <c r="A53" s="45" t="s">
        <v>221</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8" t="s">
        <v>210</v>
      </c>
    </row>
    <row r="58">
      <c r="A58" s="31" t="s">
        <v>204</v>
      </c>
      <c r="B58" s="20"/>
      <c r="C58" s="21"/>
      <c r="D58" s="21"/>
      <c r="E58" s="21"/>
      <c r="F58" s="21"/>
      <c r="G58" s="21"/>
      <c r="H58" s="22"/>
    </row>
    <row r="59" ht="15.75" customHeight="1">
      <c r="A59" s="31" t="s">
        <v>205</v>
      </c>
      <c r="B59" s="20"/>
      <c r="C59" s="21"/>
      <c r="D59" s="21"/>
      <c r="E59" s="21"/>
      <c r="F59" s="21"/>
      <c r="G59" s="21"/>
      <c r="H59" s="22"/>
    </row>
    <row r="60" ht="15.75" customHeight="1">
      <c r="A60" s="31" t="s">
        <v>170</v>
      </c>
      <c r="B60" s="62"/>
      <c r="C60" s="21"/>
      <c r="D60" s="21"/>
      <c r="E60" s="21"/>
      <c r="F60" s="21"/>
      <c r="G60" s="21"/>
      <c r="H60" s="22"/>
    </row>
    <row r="61" ht="15.75" customHeight="1">
      <c r="A61" s="31" t="s">
        <v>125</v>
      </c>
      <c r="B61" s="62"/>
      <c r="C61" s="21"/>
      <c r="D61" s="21"/>
      <c r="E61" s="21"/>
      <c r="F61" s="21"/>
      <c r="G61" s="21"/>
      <c r="H61" s="22"/>
    </row>
    <row r="62" ht="15.75" customHeight="1">
      <c r="A62" s="63" t="s">
        <v>211</v>
      </c>
      <c r="B62" s="5"/>
      <c r="C62" s="5"/>
      <c r="D62" s="5"/>
      <c r="E62" s="5"/>
      <c r="F62" s="5"/>
      <c r="G62" s="5"/>
      <c r="H62" s="5"/>
    </row>
    <row r="63" ht="15.75" customHeight="1">
      <c r="A63" s="44" t="s">
        <v>208</v>
      </c>
      <c r="B63" s="21"/>
      <c r="C63" s="21"/>
      <c r="D63" s="21"/>
      <c r="E63" s="21"/>
      <c r="F63" s="21"/>
      <c r="G63" s="21"/>
      <c r="H63" s="22"/>
    </row>
    <row r="64" ht="15.75" customHeight="1">
      <c r="A64" s="64"/>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212</v>
      </c>
      <c r="G68" s="35" t="s">
        <v>125</v>
      </c>
      <c r="H68" s="51">
        <f>B70</f>
        <v>15</v>
      </c>
    </row>
    <row r="69" ht="15.75" customHeight="1">
      <c r="G69" s="28" t="s">
        <v>213</v>
      </c>
    </row>
    <row r="70" ht="15.75" customHeight="1">
      <c r="A70" s="31" t="s">
        <v>125</v>
      </c>
      <c r="B70" s="65">
        <v>15.0</v>
      </c>
      <c r="C70" s="21"/>
      <c r="D70" s="21"/>
      <c r="E70" s="21"/>
      <c r="F70" s="21"/>
      <c r="G70" s="21"/>
      <c r="H70" s="22"/>
    </row>
    <row r="71" ht="15.75" customHeight="1">
      <c r="A71" s="57" t="s">
        <v>214</v>
      </c>
      <c r="B71" s="21"/>
      <c r="C71" s="21"/>
      <c r="D71" s="21"/>
      <c r="E71" s="21"/>
      <c r="F71" s="21"/>
      <c r="G71" s="21"/>
      <c r="H71" s="22"/>
    </row>
    <row r="72" ht="15.75" customHeight="1">
      <c r="A72" s="45" t="s">
        <v>215</v>
      </c>
      <c r="B72" s="46"/>
      <c r="C72" s="46"/>
      <c r="D72" s="46"/>
      <c r="E72" s="46"/>
      <c r="F72" s="46"/>
      <c r="G72" s="46"/>
      <c r="H72" s="47"/>
    </row>
    <row r="73" ht="15.75" customHeight="1">
      <c r="A73" s="48"/>
      <c r="B73" s="49"/>
      <c r="C73" s="49"/>
      <c r="D73" s="49"/>
      <c r="E73" s="49"/>
      <c r="F73" s="49"/>
      <c r="G73" s="49"/>
      <c r="H73" s="50"/>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8" t="s">
        <v>169</v>
      </c>
    </row>
    <row r="3" ht="15.75" customHeight="1"/>
    <row r="4" ht="15.75" customHeight="1">
      <c r="B4" s="19" t="s">
        <v>1</v>
      </c>
      <c r="C4" s="39" t="str">
        <f>'Diseño'!C4</f>
        <v>786 - Sistemas Organizacionales y Gerenciales 1</v>
      </c>
      <c r="D4" s="21"/>
      <c r="E4" s="21"/>
      <c r="F4" s="21"/>
      <c r="G4" s="22"/>
    </row>
    <row r="5" ht="15.75" customHeight="1">
      <c r="B5" s="23" t="s">
        <v>11</v>
      </c>
      <c r="C5" s="32">
        <v>4.0</v>
      </c>
      <c r="D5" s="21"/>
      <c r="E5" s="21"/>
      <c r="F5" s="21"/>
      <c r="G5" s="22"/>
    </row>
    <row r="6" ht="15.75" customHeight="1">
      <c r="B6" s="40" t="s">
        <v>122</v>
      </c>
      <c r="C6" s="20">
        <f>H10+H21+H44+H68</f>
        <v>115</v>
      </c>
      <c r="D6" s="21"/>
      <c r="E6" s="21"/>
      <c r="F6" s="21"/>
      <c r="G6" s="22"/>
      <c r="I6" s="5"/>
    </row>
    <row r="7" ht="15.75" customHeight="1">
      <c r="B7" s="40" t="s">
        <v>170</v>
      </c>
      <c r="C7" s="20">
        <f>B49+B60</f>
        <v>0</v>
      </c>
      <c r="D7" s="21"/>
      <c r="E7" s="21"/>
      <c r="F7" s="21"/>
      <c r="G7" s="22"/>
    </row>
    <row r="8" ht="15.75" customHeight="1">
      <c r="B8" s="40" t="s">
        <v>171</v>
      </c>
      <c r="C8" s="41"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5"/>
      <c r="J8" s="5"/>
      <c r="K8" s="5"/>
    </row>
    <row r="9" ht="15.75" customHeight="1"/>
    <row r="10" ht="15.75" customHeight="1">
      <c r="A10" s="42" t="s">
        <v>172</v>
      </c>
      <c r="G10" s="35" t="s">
        <v>125</v>
      </c>
      <c r="H10" s="43">
        <f>B13</f>
        <v>5</v>
      </c>
    </row>
    <row r="11" ht="15.75" customHeight="1">
      <c r="G11" s="28" t="s">
        <v>173</v>
      </c>
    </row>
    <row r="12" ht="15.75" customHeight="1">
      <c r="A12" s="31" t="s">
        <v>174</v>
      </c>
      <c r="B12" s="32" t="s">
        <v>222</v>
      </c>
      <c r="C12" s="21"/>
      <c r="D12" s="21"/>
      <c r="E12" s="21"/>
      <c r="F12" s="21"/>
      <c r="G12" s="21"/>
      <c r="H12" s="22"/>
    </row>
    <row r="13" ht="15.75" customHeight="1">
      <c r="A13" s="33" t="s">
        <v>125</v>
      </c>
      <c r="B13" s="32">
        <v>5.0</v>
      </c>
      <c r="C13" s="21"/>
      <c r="D13" s="21"/>
      <c r="E13" s="21"/>
      <c r="F13" s="21"/>
      <c r="G13" s="21"/>
      <c r="H13" s="22"/>
    </row>
    <row r="14" ht="15.75" customHeight="1">
      <c r="A14" s="44" t="s">
        <v>176</v>
      </c>
      <c r="B14" s="21"/>
      <c r="C14" s="21"/>
      <c r="D14" s="21"/>
      <c r="E14" s="21"/>
      <c r="F14" s="21"/>
      <c r="G14" s="21"/>
      <c r="H14" s="22"/>
    </row>
    <row r="15" ht="15.75" customHeight="1">
      <c r="A15" s="45" t="s">
        <v>223</v>
      </c>
      <c r="B15" s="46"/>
      <c r="C15" s="46"/>
      <c r="D15" s="46"/>
      <c r="E15" s="46"/>
      <c r="F15" s="46"/>
      <c r="G15" s="46"/>
      <c r="H15" s="47"/>
    </row>
    <row r="16" ht="15.75" customHeight="1">
      <c r="A16" s="48"/>
      <c r="B16" s="49"/>
      <c r="C16" s="49"/>
      <c r="D16" s="49"/>
      <c r="E16" s="49"/>
      <c r="F16" s="49"/>
      <c r="G16" s="49"/>
      <c r="H16" s="50"/>
    </row>
    <row r="17" ht="15.75" customHeight="1">
      <c r="A17" s="44" t="s">
        <v>178</v>
      </c>
      <c r="B17" s="21"/>
      <c r="C17" s="21"/>
      <c r="D17" s="21"/>
      <c r="E17" s="21"/>
      <c r="F17" s="21"/>
      <c r="G17" s="21"/>
      <c r="H17" s="22"/>
    </row>
    <row r="18" ht="15.75" customHeight="1">
      <c r="A18" s="45" t="s">
        <v>224</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180</v>
      </c>
      <c r="G21" s="35" t="s">
        <v>125</v>
      </c>
      <c r="H21" s="51">
        <f>SUM(D39:H42)</f>
        <v>55</v>
      </c>
      <c r="I21" s="5"/>
    </row>
    <row r="22" ht="15.75" customHeight="1">
      <c r="G22" s="28" t="s">
        <v>181</v>
      </c>
    </row>
    <row r="23" ht="15.75" customHeight="1">
      <c r="A23" s="31" t="s">
        <v>182</v>
      </c>
      <c r="B23" s="32" t="s">
        <v>31</v>
      </c>
      <c r="C23" s="21"/>
      <c r="D23" s="21"/>
      <c r="E23" s="21"/>
      <c r="F23" s="21"/>
      <c r="G23" s="21"/>
      <c r="H23" s="22"/>
    </row>
    <row r="24" ht="15.75" customHeight="1">
      <c r="A24" s="31" t="s">
        <v>182</v>
      </c>
      <c r="B24" s="20"/>
      <c r="C24" s="21"/>
      <c r="D24" s="21"/>
      <c r="E24" s="21"/>
      <c r="F24" s="21"/>
      <c r="G24" s="21"/>
      <c r="H24" s="22"/>
    </row>
    <row r="25" ht="15.75" customHeight="1"/>
    <row r="26" ht="15.75" customHeight="1">
      <c r="A26" s="52" t="s">
        <v>183</v>
      </c>
      <c r="B26" s="5"/>
      <c r="C26" s="5"/>
      <c r="D26" s="5"/>
    </row>
    <row r="27" ht="15.75" customHeight="1">
      <c r="A27" s="53" t="s">
        <v>5</v>
      </c>
      <c r="B27" s="54" t="s">
        <v>184</v>
      </c>
      <c r="C27" s="22"/>
      <c r="D27" s="54" t="s">
        <v>185</v>
      </c>
      <c r="E27" s="22"/>
      <c r="F27" s="54" t="s">
        <v>186</v>
      </c>
      <c r="G27" s="21"/>
      <c r="H27" s="22"/>
    </row>
    <row r="28" ht="15.75" customHeight="1">
      <c r="A28" s="23">
        <v>1.0</v>
      </c>
      <c r="B28" s="20">
        <f>IFERROR(__xludf.DUMMYFUNCTION("FILTER('Diseño'!D:D,'Diseño'!H:H=$C$5)"),1.0)</f>
        <v>1</v>
      </c>
      <c r="C28" s="22"/>
      <c r="D28" s="20" t="str">
        <f>IFERROR(__xludf.DUMMYFUNCTION("FILTER('Diseño'!E:E,'Diseño'!H:H=$C$5)"),"Business Analytics")</f>
        <v>Business Analytics</v>
      </c>
      <c r="E28" s="22"/>
      <c r="F28" s="20" t="str">
        <f>IFERROR(__xludf.DUMMYFUNCTION("FILTER('Diseño'!F:F,'Diseño'!H:H=$C$5)"),"Importancia en la toma de decisiones")</f>
        <v>Importancia en la toma de decisiones</v>
      </c>
      <c r="G28" s="21"/>
      <c r="H28" s="22"/>
    </row>
    <row r="29" ht="15.75" customHeight="1">
      <c r="A29" s="23">
        <v>2.0</v>
      </c>
      <c r="B29" s="20">
        <f>IFERROR(__xludf.DUMMYFUNCTION("""COMPUTED_VALUE"""),1.0)</f>
        <v>1</v>
      </c>
      <c r="C29" s="22"/>
      <c r="D29" s="20" t="str">
        <f>IFERROR(__xludf.DUMMYFUNCTION("""COMPUTED_VALUE"""),"Business Analytics")</f>
        <v>Business Analytics</v>
      </c>
      <c r="E29" s="22"/>
      <c r="F29" s="20" t="str">
        <f>IFERROR(__xludf.DUMMYFUNCTION("""COMPUTED_VALUE"""),"Ejemplos de Business Analytics")</f>
        <v>Ejemplos de Business Analytics</v>
      </c>
      <c r="G29" s="21"/>
      <c r="H29" s="22"/>
    </row>
    <row r="30" ht="15.75" customHeight="1">
      <c r="A30" s="23">
        <v>3.0</v>
      </c>
      <c r="B30" s="20">
        <f>IFERROR(__xludf.DUMMYFUNCTION("""COMPUTED_VALUE"""),1.0)</f>
        <v>1</v>
      </c>
      <c r="C30" s="22"/>
      <c r="D30" s="20" t="str">
        <f>IFERROR(__xludf.DUMMYFUNCTION("""COMPUTED_VALUE"""),"Business Analytics")</f>
        <v>Business Analytics</v>
      </c>
      <c r="E30" s="22"/>
      <c r="F30" s="20" t="str">
        <f>IFERROR(__xludf.DUMMYFUNCTION("""COMPUTED_VALUE"""),"Casos de éxito")</f>
        <v>Casos de éxito</v>
      </c>
      <c r="G30" s="21"/>
      <c r="H30" s="22"/>
    </row>
    <row r="31" ht="15.75" customHeight="1">
      <c r="A31" s="23">
        <v>4.0</v>
      </c>
      <c r="B31" s="20">
        <f>IFERROR(__xludf.DUMMYFUNCTION("""COMPUTED_VALUE"""),1.0)</f>
        <v>1</v>
      </c>
      <c r="C31" s="22"/>
      <c r="D31" s="20" t="str">
        <f>IFERROR(__xludf.DUMMYFUNCTION("""COMPUTED_VALUE"""),"Business Analytics")</f>
        <v>Business Analytics</v>
      </c>
      <c r="E31" s="22"/>
      <c r="F31" s="20" t="str">
        <f>IFERROR(__xludf.DUMMYFUNCTION("""COMPUTED_VALUE"""),"Integración con sistemas de información")</f>
        <v>Integración con sistemas de información</v>
      </c>
      <c r="G31" s="21"/>
      <c r="H31" s="22"/>
    </row>
    <row r="32" ht="15.75" customHeight="1">
      <c r="A32" s="23">
        <v>5.0</v>
      </c>
      <c r="B32" s="20">
        <f>IFERROR(__xludf.DUMMYFUNCTION("""COMPUTED_VALUE"""),1.0)</f>
        <v>1</v>
      </c>
      <c r="C32" s="22"/>
      <c r="D32" s="20" t="str">
        <f>IFERROR(__xludf.DUMMYFUNCTION("""COMPUTED_VALUE"""),"Business Analytics")</f>
        <v>Business Analytics</v>
      </c>
      <c r="E32" s="22"/>
      <c r="F32" s="20" t="str">
        <f>IFERROR(__xludf.DUMMYFUNCTION("""COMPUTED_VALUE"""),"Tendencias futuras")</f>
        <v>Tendencias futuras</v>
      </c>
      <c r="G32" s="21"/>
      <c r="H32" s="22"/>
    </row>
    <row r="33" ht="15.75" customHeight="1">
      <c r="A33" s="23">
        <v>6.0</v>
      </c>
      <c r="B33" s="20">
        <f>IFERROR(__xludf.DUMMYFUNCTION("""COMPUTED_VALUE"""),1.0)</f>
        <v>1</v>
      </c>
      <c r="C33" s="22"/>
      <c r="D33" s="20" t="str">
        <f>IFERROR(__xludf.DUMMYFUNCTION("""COMPUTED_VALUE"""),"La gestión del conocimiento")</f>
        <v>La gestión del conocimiento</v>
      </c>
      <c r="E33" s="22"/>
      <c r="F33" s="20" t="str">
        <f>IFERROR(__xludf.DUMMYFUNCTION("""COMPUTED_VALUE"""),"Concepto de gestión del conocimiento")</f>
        <v>Concepto de gestión del conocimiento</v>
      </c>
      <c r="G33" s="21"/>
      <c r="H33" s="22"/>
    </row>
    <row r="34" ht="15.75" customHeight="1">
      <c r="A34" s="23">
        <v>7.0</v>
      </c>
      <c r="B34" s="20">
        <f>IFERROR(__xludf.DUMMYFUNCTION("""COMPUTED_VALUE"""),1.0)</f>
        <v>1</v>
      </c>
      <c r="C34" s="22"/>
      <c r="D34" s="20" t="str">
        <f>IFERROR(__xludf.DUMMYFUNCTION("""COMPUTED_VALUE"""),"La gestión del conocimiento")</f>
        <v>La gestión del conocimiento</v>
      </c>
      <c r="E34" s="22"/>
      <c r="F34" s="20" t="str">
        <f>IFERROR(__xludf.DUMMYFUNCTION("""COMPUTED_VALUE"""),"Estrategias de gestión")</f>
        <v>Estrategias de gestión</v>
      </c>
      <c r="G34" s="21"/>
      <c r="H34" s="22"/>
    </row>
    <row r="35" ht="15.75" customHeight="1"/>
    <row r="36" ht="15.75" customHeight="1">
      <c r="A36" s="52" t="s">
        <v>187</v>
      </c>
    </row>
    <row r="37" ht="15.75" customHeight="1">
      <c r="A37" s="5"/>
      <c r="B37" s="5"/>
      <c r="C37" s="5"/>
      <c r="D37" s="5"/>
      <c r="E37" s="5"/>
      <c r="F37" s="5"/>
      <c r="G37" s="5"/>
      <c r="H37" s="5"/>
    </row>
    <row r="38" ht="15.75" customHeight="1">
      <c r="A38" s="53" t="s">
        <v>188</v>
      </c>
      <c r="B38" s="53" t="s">
        <v>189</v>
      </c>
      <c r="C38" s="56" t="s">
        <v>190</v>
      </c>
      <c r="D38" s="57" t="s">
        <v>125</v>
      </c>
      <c r="E38" s="21"/>
      <c r="F38" s="21"/>
      <c r="G38" s="21"/>
      <c r="H38" s="22"/>
    </row>
    <row r="39" ht="15.75" customHeight="1">
      <c r="A39" s="23" t="s">
        <v>191</v>
      </c>
      <c r="B39" s="23" t="s">
        <v>192</v>
      </c>
      <c r="C39" s="58" t="s">
        <v>193</v>
      </c>
      <c r="D39" s="32">
        <v>10.0</v>
      </c>
      <c r="E39" s="21"/>
      <c r="F39" s="21"/>
      <c r="G39" s="21"/>
      <c r="H39" s="22"/>
    </row>
    <row r="40" ht="15.75" customHeight="1">
      <c r="A40" s="23" t="s">
        <v>194</v>
      </c>
      <c r="B40" s="23" t="s">
        <v>192</v>
      </c>
      <c r="C40" s="23" t="s">
        <v>195</v>
      </c>
      <c r="D40" s="32">
        <v>5.0</v>
      </c>
      <c r="E40" s="21"/>
      <c r="F40" s="21"/>
      <c r="G40" s="21"/>
      <c r="H40" s="22"/>
    </row>
    <row r="41" ht="15.75" customHeight="1">
      <c r="A41" s="23" t="s">
        <v>196</v>
      </c>
      <c r="B41" s="23" t="s">
        <v>197</v>
      </c>
      <c r="C41" s="58" t="s">
        <v>198</v>
      </c>
      <c r="D41" s="32">
        <v>25.0</v>
      </c>
      <c r="E41" s="21"/>
      <c r="F41" s="21"/>
      <c r="G41" s="21"/>
      <c r="H41" s="22"/>
    </row>
    <row r="42" ht="15.75" customHeight="1">
      <c r="A42" s="23" t="s">
        <v>199</v>
      </c>
      <c r="B42" s="23" t="s">
        <v>192</v>
      </c>
      <c r="C42" s="58" t="s">
        <v>200</v>
      </c>
      <c r="D42" s="32">
        <v>15.0</v>
      </c>
      <c r="E42" s="21"/>
      <c r="F42" s="21"/>
      <c r="G42" s="21"/>
      <c r="H42" s="22"/>
    </row>
    <row r="43" ht="15.75" customHeight="1"/>
    <row r="44" ht="15.75" customHeight="1">
      <c r="A44" s="42" t="s">
        <v>201</v>
      </c>
      <c r="G44" s="35" t="s">
        <v>125</v>
      </c>
      <c r="H44" s="51">
        <f>B50</f>
        <v>40</v>
      </c>
    </row>
    <row r="45" ht="15.75" customHeight="1">
      <c r="G45" s="28" t="s">
        <v>202</v>
      </c>
    </row>
    <row r="46" ht="15.75" customHeight="1">
      <c r="A46" s="28" t="s">
        <v>203</v>
      </c>
    </row>
    <row r="47">
      <c r="A47" s="31" t="s">
        <v>204</v>
      </c>
      <c r="B47" s="32" t="s">
        <v>22</v>
      </c>
      <c r="C47" s="21"/>
      <c r="D47" s="21"/>
      <c r="E47" s="21"/>
      <c r="F47" s="21"/>
      <c r="G47" s="21"/>
      <c r="H47" s="22"/>
    </row>
    <row r="48" ht="15.75" customHeight="1">
      <c r="A48" s="31" t="s">
        <v>205</v>
      </c>
      <c r="B48" s="32" t="s">
        <v>220</v>
      </c>
      <c r="C48" s="21"/>
      <c r="D48" s="21"/>
      <c r="E48" s="21"/>
      <c r="F48" s="21"/>
      <c r="G48" s="21"/>
      <c r="H48" s="22"/>
    </row>
    <row r="49" ht="15.75" customHeight="1">
      <c r="A49" s="31" t="s">
        <v>170</v>
      </c>
      <c r="B49" s="32">
        <v>0.0</v>
      </c>
      <c r="C49" s="21"/>
      <c r="D49" s="21"/>
      <c r="E49" s="21"/>
      <c r="F49" s="21"/>
      <c r="G49" s="21"/>
      <c r="H49" s="22"/>
    </row>
    <row r="50" ht="15.75" customHeight="1">
      <c r="A50" s="31" t="s">
        <v>125</v>
      </c>
      <c r="B50" s="32">
        <v>40.0</v>
      </c>
      <c r="C50" s="21"/>
      <c r="D50" s="21"/>
      <c r="E50" s="21"/>
      <c r="F50" s="21"/>
      <c r="G50" s="21"/>
      <c r="H50" s="22"/>
    </row>
    <row r="51" ht="15.75" customHeight="1">
      <c r="A51" s="59" t="s">
        <v>207</v>
      </c>
      <c r="B51" s="5"/>
      <c r="C51" s="5"/>
      <c r="D51" s="5"/>
      <c r="E51" s="5"/>
      <c r="F51" s="5"/>
      <c r="G51" s="5"/>
      <c r="H51" s="5"/>
    </row>
    <row r="52" ht="15.75" customHeight="1">
      <c r="A52" s="44" t="s">
        <v>208</v>
      </c>
      <c r="B52" s="21"/>
      <c r="C52" s="21"/>
      <c r="D52" s="21"/>
      <c r="E52" s="21"/>
      <c r="F52" s="21"/>
      <c r="G52" s="21"/>
      <c r="H52" s="22"/>
    </row>
    <row r="53" ht="15.75" customHeight="1">
      <c r="A53" s="45" t="s">
        <v>221</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8" t="s">
        <v>210</v>
      </c>
    </row>
    <row r="58">
      <c r="A58" s="31" t="s">
        <v>204</v>
      </c>
      <c r="B58" s="20"/>
      <c r="C58" s="21"/>
      <c r="D58" s="21"/>
      <c r="E58" s="21"/>
      <c r="F58" s="21"/>
      <c r="G58" s="21"/>
      <c r="H58" s="22"/>
    </row>
    <row r="59" ht="15.75" customHeight="1">
      <c r="A59" s="31" t="s">
        <v>205</v>
      </c>
      <c r="B59" s="20"/>
      <c r="C59" s="21"/>
      <c r="D59" s="21"/>
      <c r="E59" s="21"/>
      <c r="F59" s="21"/>
      <c r="G59" s="21"/>
      <c r="H59" s="22"/>
    </row>
    <row r="60" ht="15.75" customHeight="1">
      <c r="A60" s="31" t="s">
        <v>170</v>
      </c>
      <c r="B60" s="62"/>
      <c r="C60" s="21"/>
      <c r="D60" s="21"/>
      <c r="E60" s="21"/>
      <c r="F60" s="21"/>
      <c r="G60" s="21"/>
      <c r="H60" s="22"/>
    </row>
    <row r="61" ht="15.75" customHeight="1">
      <c r="A61" s="31" t="s">
        <v>125</v>
      </c>
      <c r="B61" s="62"/>
      <c r="C61" s="21"/>
      <c r="D61" s="21"/>
      <c r="E61" s="21"/>
      <c r="F61" s="21"/>
      <c r="G61" s="21"/>
      <c r="H61" s="22"/>
    </row>
    <row r="62" ht="15.75" customHeight="1">
      <c r="A62" s="63" t="s">
        <v>211</v>
      </c>
      <c r="B62" s="5"/>
      <c r="C62" s="5"/>
      <c r="D62" s="5"/>
      <c r="E62" s="5"/>
      <c r="F62" s="5"/>
      <c r="G62" s="5"/>
      <c r="H62" s="5"/>
    </row>
    <row r="63" ht="15.75" customHeight="1">
      <c r="A63" s="44" t="s">
        <v>208</v>
      </c>
      <c r="B63" s="21"/>
      <c r="C63" s="21"/>
      <c r="D63" s="21"/>
      <c r="E63" s="21"/>
      <c r="F63" s="21"/>
      <c r="G63" s="21"/>
      <c r="H63" s="22"/>
    </row>
    <row r="64" ht="15.75" customHeight="1">
      <c r="A64" s="64"/>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212</v>
      </c>
      <c r="G68" s="35" t="s">
        <v>125</v>
      </c>
      <c r="H68" s="51">
        <f>B70</f>
        <v>15</v>
      </c>
    </row>
    <row r="69" ht="15.75" customHeight="1">
      <c r="G69" s="28" t="s">
        <v>213</v>
      </c>
    </row>
    <row r="70" ht="15.75" customHeight="1">
      <c r="A70" s="31" t="s">
        <v>125</v>
      </c>
      <c r="B70" s="65">
        <v>15.0</v>
      </c>
      <c r="C70" s="21"/>
      <c r="D70" s="21"/>
      <c r="E70" s="21"/>
      <c r="F70" s="21"/>
      <c r="G70" s="21"/>
      <c r="H70" s="22"/>
    </row>
    <row r="71" ht="15.75" customHeight="1">
      <c r="A71" s="57" t="s">
        <v>214</v>
      </c>
      <c r="B71" s="21"/>
      <c r="C71" s="21"/>
      <c r="D71" s="21"/>
      <c r="E71" s="21"/>
      <c r="F71" s="21"/>
      <c r="G71" s="21"/>
      <c r="H71" s="22"/>
    </row>
    <row r="72" ht="15.75" customHeight="1">
      <c r="A72" s="45" t="s">
        <v>215</v>
      </c>
      <c r="B72" s="46"/>
      <c r="C72" s="46"/>
      <c r="D72" s="46"/>
      <c r="E72" s="46"/>
      <c r="F72" s="46"/>
      <c r="G72" s="46"/>
      <c r="H72" s="47"/>
    </row>
    <row r="73" ht="15.75" customHeight="1">
      <c r="A73" s="48"/>
      <c r="B73" s="49"/>
      <c r="C73" s="49"/>
      <c r="D73" s="49"/>
      <c r="E73" s="49"/>
      <c r="F73" s="49"/>
      <c r="G73" s="49"/>
      <c r="H73" s="50"/>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8" t="s">
        <v>169</v>
      </c>
    </row>
    <row r="3" ht="15.75" customHeight="1"/>
    <row r="4" ht="15.75" customHeight="1">
      <c r="B4" s="19" t="s">
        <v>1</v>
      </c>
      <c r="C4" s="39" t="str">
        <f>'Diseño'!C4</f>
        <v>786 - Sistemas Organizacionales y Gerenciales 1</v>
      </c>
      <c r="D4" s="21"/>
      <c r="E4" s="21"/>
      <c r="F4" s="21"/>
      <c r="G4" s="22"/>
    </row>
    <row r="5" ht="15.75" customHeight="1">
      <c r="B5" s="23" t="s">
        <v>11</v>
      </c>
      <c r="C5" s="32">
        <v>5.0</v>
      </c>
      <c r="D5" s="21"/>
      <c r="E5" s="21"/>
      <c r="F5" s="21"/>
      <c r="G5" s="22"/>
    </row>
    <row r="6" ht="15.75" customHeight="1">
      <c r="B6" s="40" t="s">
        <v>122</v>
      </c>
      <c r="C6" s="20">
        <f>H10+H21+H44+H68</f>
        <v>115</v>
      </c>
      <c r="D6" s="21"/>
      <c r="E6" s="21"/>
      <c r="F6" s="21"/>
      <c r="G6" s="22"/>
      <c r="I6" s="5"/>
    </row>
    <row r="7" ht="15.75" customHeight="1">
      <c r="B7" s="40" t="s">
        <v>170</v>
      </c>
      <c r="C7" s="20">
        <f>B49+B60</f>
        <v>0</v>
      </c>
      <c r="D7" s="21"/>
      <c r="E7" s="21"/>
      <c r="F7" s="21"/>
      <c r="G7" s="22"/>
    </row>
    <row r="8" ht="15.75" customHeight="1">
      <c r="B8" s="40" t="s">
        <v>171</v>
      </c>
      <c r="C8" s="41"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5"/>
      <c r="J8" s="5"/>
      <c r="K8" s="5"/>
    </row>
    <row r="9" ht="15.75" customHeight="1"/>
    <row r="10" ht="15.75" customHeight="1">
      <c r="A10" s="42" t="s">
        <v>172</v>
      </c>
      <c r="G10" s="35" t="s">
        <v>125</v>
      </c>
      <c r="H10" s="43">
        <f>B13</f>
        <v>5</v>
      </c>
    </row>
    <row r="11" ht="15.75" customHeight="1">
      <c r="G11" s="28" t="s">
        <v>173</v>
      </c>
    </row>
    <row r="12" ht="15.75" customHeight="1">
      <c r="A12" s="31" t="s">
        <v>174</v>
      </c>
      <c r="B12" s="32" t="s">
        <v>225</v>
      </c>
      <c r="C12" s="21"/>
      <c r="D12" s="21"/>
      <c r="E12" s="21"/>
      <c r="F12" s="21"/>
      <c r="G12" s="21"/>
      <c r="H12" s="22"/>
    </row>
    <row r="13" ht="15.75" customHeight="1">
      <c r="A13" s="33" t="s">
        <v>125</v>
      </c>
      <c r="B13" s="32">
        <v>5.0</v>
      </c>
      <c r="C13" s="21"/>
      <c r="D13" s="21"/>
      <c r="E13" s="21"/>
      <c r="F13" s="21"/>
      <c r="G13" s="21"/>
      <c r="H13" s="22"/>
    </row>
    <row r="14" ht="15.75" customHeight="1">
      <c r="A14" s="44" t="s">
        <v>176</v>
      </c>
      <c r="B14" s="21"/>
      <c r="C14" s="21"/>
      <c r="D14" s="21"/>
      <c r="E14" s="21"/>
      <c r="F14" s="21"/>
      <c r="G14" s="21"/>
      <c r="H14" s="22"/>
    </row>
    <row r="15" ht="15.75" customHeight="1">
      <c r="A15" s="45" t="s">
        <v>226</v>
      </c>
      <c r="B15" s="46"/>
      <c r="C15" s="46"/>
      <c r="D15" s="46"/>
      <c r="E15" s="46"/>
      <c r="F15" s="46"/>
      <c r="G15" s="46"/>
      <c r="H15" s="47"/>
    </row>
    <row r="16" ht="15.75" customHeight="1">
      <c r="A16" s="48"/>
      <c r="B16" s="49"/>
      <c r="C16" s="49"/>
      <c r="D16" s="49"/>
      <c r="E16" s="49"/>
      <c r="F16" s="49"/>
      <c r="G16" s="49"/>
      <c r="H16" s="50"/>
    </row>
    <row r="17" ht="15.75" customHeight="1">
      <c r="A17" s="44" t="s">
        <v>178</v>
      </c>
      <c r="B17" s="21"/>
      <c r="C17" s="21"/>
      <c r="D17" s="21"/>
      <c r="E17" s="21"/>
      <c r="F17" s="21"/>
      <c r="G17" s="21"/>
      <c r="H17" s="22"/>
    </row>
    <row r="18" ht="15.75" customHeight="1">
      <c r="A18" s="45" t="s">
        <v>227</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180</v>
      </c>
      <c r="G21" s="35" t="s">
        <v>125</v>
      </c>
      <c r="H21" s="51">
        <f>SUM(D39:H42)</f>
        <v>55</v>
      </c>
      <c r="I21" s="5"/>
    </row>
    <row r="22" ht="15.75" customHeight="1">
      <c r="G22" s="28" t="s">
        <v>181</v>
      </c>
    </row>
    <row r="23" ht="15.75" customHeight="1">
      <c r="A23" s="31" t="s">
        <v>182</v>
      </c>
      <c r="B23" s="32" t="s">
        <v>22</v>
      </c>
      <c r="C23" s="21"/>
      <c r="D23" s="21"/>
      <c r="E23" s="21"/>
      <c r="F23" s="21"/>
      <c r="G23" s="21"/>
      <c r="H23" s="22"/>
    </row>
    <row r="24" ht="15.75" customHeight="1">
      <c r="A24" s="31" t="s">
        <v>182</v>
      </c>
      <c r="B24" s="20"/>
      <c r="C24" s="21"/>
      <c r="D24" s="21"/>
      <c r="E24" s="21"/>
      <c r="F24" s="21"/>
      <c r="G24" s="21"/>
      <c r="H24" s="22"/>
    </row>
    <row r="25" ht="15.75" customHeight="1"/>
    <row r="26" ht="15.75" customHeight="1">
      <c r="A26" s="52" t="s">
        <v>183</v>
      </c>
      <c r="B26" s="5"/>
      <c r="C26" s="5"/>
      <c r="D26" s="5"/>
    </row>
    <row r="27" ht="15.75" customHeight="1">
      <c r="A27" s="53" t="s">
        <v>5</v>
      </c>
      <c r="B27" s="54" t="s">
        <v>184</v>
      </c>
      <c r="C27" s="22"/>
      <c r="D27" s="54" t="s">
        <v>185</v>
      </c>
      <c r="E27" s="22"/>
      <c r="F27" s="54" t="s">
        <v>186</v>
      </c>
      <c r="G27" s="21"/>
      <c r="H27" s="22"/>
    </row>
    <row r="28" ht="15.75" customHeight="1">
      <c r="A28" s="23">
        <v>1.0</v>
      </c>
      <c r="B28" s="20">
        <f>IFERROR(__xludf.DUMMYFUNCTION("FILTER('Diseño'!D:D,'Diseño'!H:H=$C$5)"),1.0)</f>
        <v>1</v>
      </c>
      <c r="C28" s="22"/>
      <c r="D28" s="20" t="str">
        <f>IFERROR(__xludf.DUMMYFUNCTION("FILTER('Diseño'!E:E,'Diseño'!H:H=$C$5)"),"La gestión del conocimiento")</f>
        <v>La gestión del conocimiento</v>
      </c>
      <c r="E28" s="22"/>
      <c r="F28" s="20" t="str">
        <f>IFERROR(__xludf.DUMMYFUNCTION("FILTER('Diseño'!F:F,'Diseño'!H:H=$C$5)"),"Herramientas tecnológicas")</f>
        <v>Herramientas tecnológicas</v>
      </c>
      <c r="G28" s="21"/>
      <c r="H28" s="22"/>
    </row>
    <row r="29" ht="15.75" customHeight="1">
      <c r="A29" s="23">
        <v>2.0</v>
      </c>
      <c r="B29" s="20">
        <f>IFERROR(__xludf.DUMMYFUNCTION("""COMPUTED_VALUE"""),1.0)</f>
        <v>1</v>
      </c>
      <c r="C29" s="22"/>
      <c r="D29" s="20" t="str">
        <f>IFERROR(__xludf.DUMMYFUNCTION("""COMPUTED_VALUE"""),"La gestión del conocimiento")</f>
        <v>La gestión del conocimiento</v>
      </c>
      <c r="E29" s="22"/>
      <c r="F29" s="20" t="str">
        <f>IFERROR(__xludf.DUMMYFUNCTION("""COMPUTED_VALUE"""),"Impacto en la organización")</f>
        <v>Impacto en la organización</v>
      </c>
      <c r="G29" s="21"/>
      <c r="H29" s="22"/>
    </row>
    <row r="30" ht="15.75" customHeight="1">
      <c r="A30" s="23">
        <v>3.0</v>
      </c>
      <c r="B30" s="20">
        <f>IFERROR(__xludf.DUMMYFUNCTION("""COMPUTED_VALUE"""),1.0)</f>
        <v>1</v>
      </c>
      <c r="C30" s="22"/>
      <c r="D30" s="20" t="str">
        <f>IFERROR(__xludf.DUMMYFUNCTION("""COMPUTED_VALUE"""),"La gestión del conocimiento")</f>
        <v>La gestión del conocimiento</v>
      </c>
      <c r="E30" s="22"/>
      <c r="F30" s="20" t="str">
        <f>IFERROR(__xludf.DUMMYFUNCTION("""COMPUTED_VALUE"""),"Ejemplos de gestión del conocimiento")</f>
        <v>Ejemplos de gestión del conocimiento</v>
      </c>
      <c r="G30" s="21"/>
      <c r="H30" s="22"/>
    </row>
    <row r="31" ht="15.75" customHeight="1">
      <c r="A31" s="23">
        <v>4.0</v>
      </c>
      <c r="B31" s="20">
        <f>IFERROR(__xludf.DUMMYFUNCTION("""COMPUTED_VALUE"""),1.0)</f>
        <v>1</v>
      </c>
      <c r="C31" s="22"/>
      <c r="D31" s="20" t="str">
        <f>IFERROR(__xludf.DUMMYFUNCTION("""COMPUTED_VALUE"""),"La gestión del conocimiento")</f>
        <v>La gestión del conocimiento</v>
      </c>
      <c r="E31" s="22"/>
      <c r="F31" s="20" t="str">
        <f>IFERROR(__xludf.DUMMYFUNCTION("""COMPUTED_VALUE"""),"Estudio de caso")</f>
        <v>Estudio de caso</v>
      </c>
      <c r="G31" s="21"/>
      <c r="H31" s="22"/>
    </row>
    <row r="32" ht="15.75" customHeight="1">
      <c r="A32" s="23">
        <v>5.0</v>
      </c>
      <c r="B32" s="20">
        <f>IFERROR(__xludf.DUMMYFUNCTION("""COMPUTED_VALUE"""),1.0)</f>
        <v>1</v>
      </c>
      <c r="C32" s="22"/>
      <c r="D32" s="20" t="str">
        <f>IFERROR(__xludf.DUMMYFUNCTION("""COMPUTED_VALUE"""),"La gestión del conocimiento")</f>
        <v>La gestión del conocimiento</v>
      </c>
      <c r="E32" s="22"/>
      <c r="F32" s="20" t="str">
        <f>IFERROR(__xludf.DUMMYFUNCTION("""COMPUTED_VALUE"""),"Futuro de la gestión del conocimiento")</f>
        <v>Futuro de la gestión del conocimiento</v>
      </c>
      <c r="G32" s="21"/>
      <c r="H32" s="22"/>
    </row>
    <row r="33" ht="15.75" customHeight="1">
      <c r="A33" s="23">
        <v>6.0</v>
      </c>
      <c r="B33" s="20">
        <f>IFERROR(__xludf.DUMMYFUNCTION("""COMPUTED_VALUE"""),2.0)</f>
        <v>2</v>
      </c>
      <c r="C33" s="22"/>
      <c r="D33" s="20" t="str">
        <f>IFERROR(__xludf.DUMMYFUNCTION("""COMPUTED_VALUE"""),"Papel estratégico de las TIC")</f>
        <v>Papel estratégico de las TIC</v>
      </c>
      <c r="E33" s="22"/>
      <c r="F33" s="20" t="str">
        <f>IFERROR(__xludf.DUMMYFUNCTION("""COMPUTED_VALUE"""),"Definición de TIC")</f>
        <v>Definición de TIC</v>
      </c>
      <c r="G33" s="21"/>
      <c r="H33" s="22"/>
    </row>
    <row r="34" ht="15.75" customHeight="1">
      <c r="A34" s="23">
        <v>7.0</v>
      </c>
      <c r="B34" s="20"/>
      <c r="C34" s="22"/>
      <c r="D34" s="20"/>
      <c r="E34" s="22"/>
      <c r="F34" s="20"/>
      <c r="G34" s="21"/>
      <c r="H34" s="22"/>
    </row>
    <row r="35" ht="15.75" customHeight="1"/>
    <row r="36" ht="15.75" customHeight="1">
      <c r="A36" s="52" t="s">
        <v>187</v>
      </c>
    </row>
    <row r="37" ht="15.75" customHeight="1">
      <c r="A37" s="5"/>
      <c r="B37" s="5"/>
      <c r="C37" s="5"/>
      <c r="D37" s="5"/>
      <c r="E37" s="5"/>
      <c r="F37" s="5"/>
      <c r="G37" s="5"/>
      <c r="H37" s="5"/>
    </row>
    <row r="38" ht="15.75" customHeight="1">
      <c r="A38" s="53" t="s">
        <v>188</v>
      </c>
      <c r="B38" s="53" t="s">
        <v>189</v>
      </c>
      <c r="C38" s="56" t="s">
        <v>190</v>
      </c>
      <c r="D38" s="57" t="s">
        <v>125</v>
      </c>
      <c r="E38" s="21"/>
      <c r="F38" s="21"/>
      <c r="G38" s="21"/>
      <c r="H38" s="22"/>
    </row>
    <row r="39" ht="15.75" customHeight="1">
      <c r="A39" s="23" t="s">
        <v>191</v>
      </c>
      <c r="B39" s="23" t="s">
        <v>192</v>
      </c>
      <c r="C39" s="58" t="s">
        <v>193</v>
      </c>
      <c r="D39" s="32">
        <v>10.0</v>
      </c>
      <c r="E39" s="21"/>
      <c r="F39" s="21"/>
      <c r="G39" s="21"/>
      <c r="H39" s="22"/>
    </row>
    <row r="40" ht="15.75" customHeight="1">
      <c r="A40" s="23" t="s">
        <v>194</v>
      </c>
      <c r="B40" s="23" t="s">
        <v>192</v>
      </c>
      <c r="C40" s="23" t="s">
        <v>195</v>
      </c>
      <c r="D40" s="32">
        <v>5.0</v>
      </c>
      <c r="E40" s="21"/>
      <c r="F40" s="21"/>
      <c r="G40" s="21"/>
      <c r="H40" s="22"/>
    </row>
    <row r="41" ht="15.75" customHeight="1">
      <c r="A41" s="23" t="s">
        <v>196</v>
      </c>
      <c r="B41" s="23" t="s">
        <v>197</v>
      </c>
      <c r="C41" s="58" t="s">
        <v>198</v>
      </c>
      <c r="D41" s="32">
        <v>25.0</v>
      </c>
      <c r="E41" s="21"/>
      <c r="F41" s="21"/>
      <c r="G41" s="21"/>
      <c r="H41" s="22"/>
    </row>
    <row r="42" ht="15.75" customHeight="1">
      <c r="A42" s="23" t="s">
        <v>199</v>
      </c>
      <c r="B42" s="23" t="s">
        <v>192</v>
      </c>
      <c r="C42" s="58" t="s">
        <v>200</v>
      </c>
      <c r="D42" s="32">
        <v>15.0</v>
      </c>
      <c r="E42" s="21"/>
      <c r="F42" s="21"/>
      <c r="G42" s="21"/>
      <c r="H42" s="22"/>
    </row>
    <row r="43" ht="15.75" customHeight="1"/>
    <row r="44" ht="15.75" customHeight="1">
      <c r="A44" s="42" t="s">
        <v>201</v>
      </c>
      <c r="G44" s="35" t="s">
        <v>125</v>
      </c>
      <c r="H44" s="51">
        <f>B50</f>
        <v>40</v>
      </c>
    </row>
    <row r="45" ht="15.75" customHeight="1">
      <c r="G45" s="28" t="s">
        <v>202</v>
      </c>
    </row>
    <row r="46" ht="15.75" customHeight="1">
      <c r="A46" s="28" t="s">
        <v>203</v>
      </c>
    </row>
    <row r="47">
      <c r="A47" s="31" t="s">
        <v>204</v>
      </c>
      <c r="B47" s="32" t="s">
        <v>22</v>
      </c>
      <c r="C47" s="21"/>
      <c r="D47" s="21"/>
      <c r="E47" s="21"/>
      <c r="F47" s="21"/>
      <c r="G47" s="21"/>
      <c r="H47" s="22"/>
    </row>
    <row r="48" ht="15.75" customHeight="1">
      <c r="A48" s="31" t="s">
        <v>205</v>
      </c>
      <c r="B48" s="32" t="s">
        <v>220</v>
      </c>
      <c r="C48" s="21"/>
      <c r="D48" s="21"/>
      <c r="E48" s="21"/>
      <c r="F48" s="21"/>
      <c r="G48" s="21"/>
      <c r="H48" s="22"/>
    </row>
    <row r="49" ht="15.75" customHeight="1">
      <c r="A49" s="31" t="s">
        <v>170</v>
      </c>
      <c r="B49" s="32">
        <v>0.0</v>
      </c>
      <c r="C49" s="21"/>
      <c r="D49" s="21"/>
      <c r="E49" s="21"/>
      <c r="F49" s="21"/>
      <c r="G49" s="21"/>
      <c r="H49" s="22"/>
    </row>
    <row r="50" ht="15.75" customHeight="1">
      <c r="A50" s="31" t="s">
        <v>125</v>
      </c>
      <c r="B50" s="32">
        <v>40.0</v>
      </c>
      <c r="C50" s="21"/>
      <c r="D50" s="21"/>
      <c r="E50" s="21"/>
      <c r="F50" s="21"/>
      <c r="G50" s="21"/>
      <c r="H50" s="22"/>
    </row>
    <row r="51" ht="15.75" customHeight="1">
      <c r="A51" s="59" t="s">
        <v>207</v>
      </c>
      <c r="B51" s="5"/>
      <c r="C51" s="5"/>
      <c r="D51" s="5"/>
      <c r="E51" s="5"/>
      <c r="F51" s="5"/>
      <c r="G51" s="5"/>
      <c r="H51" s="5"/>
    </row>
    <row r="52" ht="15.75" customHeight="1">
      <c r="A52" s="44" t="s">
        <v>208</v>
      </c>
      <c r="B52" s="21"/>
      <c r="C52" s="21"/>
      <c r="D52" s="21"/>
      <c r="E52" s="21"/>
      <c r="F52" s="21"/>
      <c r="G52" s="21"/>
      <c r="H52" s="22"/>
    </row>
    <row r="53" ht="15.75" customHeight="1">
      <c r="A53" s="45" t="s">
        <v>221</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8" t="s">
        <v>210</v>
      </c>
    </row>
    <row r="58">
      <c r="A58" s="31" t="s">
        <v>204</v>
      </c>
      <c r="B58" s="20"/>
      <c r="C58" s="21"/>
      <c r="D58" s="21"/>
      <c r="E58" s="21"/>
      <c r="F58" s="21"/>
      <c r="G58" s="21"/>
      <c r="H58" s="22"/>
    </row>
    <row r="59" ht="15.75" customHeight="1">
      <c r="A59" s="31" t="s">
        <v>205</v>
      </c>
      <c r="B59" s="20"/>
      <c r="C59" s="21"/>
      <c r="D59" s="21"/>
      <c r="E59" s="21"/>
      <c r="F59" s="21"/>
      <c r="G59" s="21"/>
      <c r="H59" s="22"/>
    </row>
    <row r="60" ht="15.75" customHeight="1">
      <c r="A60" s="31" t="s">
        <v>170</v>
      </c>
      <c r="B60" s="62"/>
      <c r="C60" s="21"/>
      <c r="D60" s="21"/>
      <c r="E60" s="21"/>
      <c r="F60" s="21"/>
      <c r="G60" s="21"/>
      <c r="H60" s="22"/>
    </row>
    <row r="61" ht="15.75" customHeight="1">
      <c r="A61" s="31" t="s">
        <v>125</v>
      </c>
      <c r="B61" s="62"/>
      <c r="C61" s="21"/>
      <c r="D61" s="21"/>
      <c r="E61" s="21"/>
      <c r="F61" s="21"/>
      <c r="G61" s="21"/>
      <c r="H61" s="22"/>
    </row>
    <row r="62" ht="15.75" customHeight="1">
      <c r="A62" s="63" t="s">
        <v>211</v>
      </c>
      <c r="B62" s="5"/>
      <c r="C62" s="5"/>
      <c r="D62" s="5"/>
      <c r="E62" s="5"/>
      <c r="F62" s="5"/>
      <c r="G62" s="5"/>
      <c r="H62" s="5"/>
    </row>
    <row r="63" ht="15.75" customHeight="1">
      <c r="A63" s="44" t="s">
        <v>208</v>
      </c>
      <c r="B63" s="21"/>
      <c r="C63" s="21"/>
      <c r="D63" s="21"/>
      <c r="E63" s="21"/>
      <c r="F63" s="21"/>
      <c r="G63" s="21"/>
      <c r="H63" s="22"/>
    </row>
    <row r="64" ht="15.75" customHeight="1">
      <c r="A64" s="64"/>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212</v>
      </c>
      <c r="G68" s="35" t="s">
        <v>125</v>
      </c>
      <c r="H68" s="51">
        <f>B70</f>
        <v>15</v>
      </c>
    </row>
    <row r="69" ht="15.75" customHeight="1">
      <c r="G69" s="28" t="s">
        <v>213</v>
      </c>
    </row>
    <row r="70" ht="15.75" customHeight="1">
      <c r="A70" s="31" t="s">
        <v>125</v>
      </c>
      <c r="B70" s="65">
        <v>15.0</v>
      </c>
      <c r="C70" s="21"/>
      <c r="D70" s="21"/>
      <c r="E70" s="21"/>
      <c r="F70" s="21"/>
      <c r="G70" s="21"/>
      <c r="H70" s="22"/>
    </row>
    <row r="71" ht="15.75" customHeight="1">
      <c r="A71" s="57" t="s">
        <v>214</v>
      </c>
      <c r="B71" s="21"/>
      <c r="C71" s="21"/>
      <c r="D71" s="21"/>
      <c r="E71" s="21"/>
      <c r="F71" s="21"/>
      <c r="G71" s="21"/>
      <c r="H71" s="22"/>
    </row>
    <row r="72" ht="15.75" customHeight="1">
      <c r="A72" s="45" t="s">
        <v>215</v>
      </c>
      <c r="B72" s="46"/>
      <c r="C72" s="46"/>
      <c r="D72" s="46"/>
      <c r="E72" s="46"/>
      <c r="F72" s="46"/>
      <c r="G72" s="46"/>
      <c r="H72" s="47"/>
    </row>
    <row r="73" ht="15.75" customHeight="1">
      <c r="A73" s="48"/>
      <c r="B73" s="49"/>
      <c r="C73" s="49"/>
      <c r="D73" s="49"/>
      <c r="E73" s="49"/>
      <c r="F73" s="49"/>
      <c r="G73" s="49"/>
      <c r="H73" s="50"/>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8" t="s">
        <v>169</v>
      </c>
    </row>
    <row r="3" ht="15.75" customHeight="1"/>
    <row r="4" ht="15.75" customHeight="1">
      <c r="B4" s="19" t="s">
        <v>1</v>
      </c>
      <c r="C4" s="39" t="str">
        <f>'Diseño'!C4</f>
        <v>786 - Sistemas Organizacionales y Gerenciales 1</v>
      </c>
      <c r="D4" s="21"/>
      <c r="E4" s="21"/>
      <c r="F4" s="21"/>
      <c r="G4" s="22"/>
    </row>
    <row r="5" ht="15.75" customHeight="1">
      <c r="B5" s="23" t="s">
        <v>11</v>
      </c>
      <c r="C5" s="32">
        <v>6.0</v>
      </c>
      <c r="D5" s="21"/>
      <c r="E5" s="21"/>
      <c r="F5" s="21"/>
      <c r="G5" s="22"/>
    </row>
    <row r="6" ht="15.75" customHeight="1">
      <c r="B6" s="40" t="s">
        <v>122</v>
      </c>
      <c r="C6" s="20">
        <f>H10+H21+H44+H68</f>
        <v>115</v>
      </c>
      <c r="D6" s="21"/>
      <c r="E6" s="21"/>
      <c r="F6" s="21"/>
      <c r="G6" s="22"/>
      <c r="I6" s="5"/>
    </row>
    <row r="7" ht="15.75" customHeight="1">
      <c r="B7" s="40" t="s">
        <v>170</v>
      </c>
      <c r="C7" s="20">
        <f>B49+B60</f>
        <v>0</v>
      </c>
      <c r="D7" s="21"/>
      <c r="E7" s="21"/>
      <c r="F7" s="21"/>
      <c r="G7" s="22"/>
    </row>
    <row r="8" ht="15.75" customHeight="1">
      <c r="B8" s="40" t="s">
        <v>171</v>
      </c>
      <c r="C8" s="41"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5"/>
      <c r="J8" s="5"/>
      <c r="K8" s="5"/>
    </row>
    <row r="9" ht="15.75" customHeight="1"/>
    <row r="10" ht="15.75" customHeight="1">
      <c r="A10" s="42" t="s">
        <v>172</v>
      </c>
      <c r="G10" s="35" t="s">
        <v>125</v>
      </c>
      <c r="H10" s="43">
        <f>B13</f>
        <v>5</v>
      </c>
    </row>
    <row r="11" ht="15.75" customHeight="1">
      <c r="G11" s="28" t="s">
        <v>173</v>
      </c>
    </row>
    <row r="12" ht="15.75" customHeight="1">
      <c r="A12" s="31" t="s">
        <v>174</v>
      </c>
      <c r="B12" s="32" t="s">
        <v>228</v>
      </c>
      <c r="C12" s="21"/>
      <c r="D12" s="21"/>
      <c r="E12" s="21"/>
      <c r="F12" s="21"/>
      <c r="G12" s="21"/>
      <c r="H12" s="22"/>
    </row>
    <row r="13" ht="15.75" customHeight="1">
      <c r="A13" s="33" t="s">
        <v>125</v>
      </c>
      <c r="B13" s="32">
        <v>5.0</v>
      </c>
      <c r="C13" s="21"/>
      <c r="D13" s="21"/>
      <c r="E13" s="21"/>
      <c r="F13" s="21"/>
      <c r="G13" s="21"/>
      <c r="H13" s="22"/>
    </row>
    <row r="14" ht="15.75" customHeight="1">
      <c r="A14" s="44" t="s">
        <v>176</v>
      </c>
      <c r="B14" s="21"/>
      <c r="C14" s="21"/>
      <c r="D14" s="21"/>
      <c r="E14" s="21"/>
      <c r="F14" s="21"/>
      <c r="G14" s="21"/>
      <c r="H14" s="22"/>
    </row>
    <row r="15" ht="15.75" customHeight="1">
      <c r="A15" s="45" t="s">
        <v>229</v>
      </c>
      <c r="B15" s="46"/>
      <c r="C15" s="46"/>
      <c r="D15" s="46"/>
      <c r="E15" s="46"/>
      <c r="F15" s="46"/>
      <c r="G15" s="46"/>
      <c r="H15" s="47"/>
    </row>
    <row r="16" ht="15.75" customHeight="1">
      <c r="A16" s="48"/>
      <c r="B16" s="49"/>
      <c r="C16" s="49"/>
      <c r="D16" s="49"/>
      <c r="E16" s="49"/>
      <c r="F16" s="49"/>
      <c r="G16" s="49"/>
      <c r="H16" s="50"/>
    </row>
    <row r="17" ht="15.75" customHeight="1">
      <c r="A17" s="44" t="s">
        <v>178</v>
      </c>
      <c r="B17" s="21"/>
      <c r="C17" s="21"/>
      <c r="D17" s="21"/>
      <c r="E17" s="21"/>
      <c r="F17" s="21"/>
      <c r="G17" s="21"/>
      <c r="H17" s="22"/>
    </row>
    <row r="18" ht="15.75" customHeight="1">
      <c r="A18" s="45" t="s">
        <v>230</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180</v>
      </c>
      <c r="G21" s="35" t="s">
        <v>125</v>
      </c>
      <c r="H21" s="51">
        <f>SUM(D39:H42)</f>
        <v>55</v>
      </c>
      <c r="I21" s="5"/>
    </row>
    <row r="22" ht="15.75" customHeight="1">
      <c r="G22" s="28" t="s">
        <v>181</v>
      </c>
    </row>
    <row r="23" ht="15.75" customHeight="1">
      <c r="A23" s="31" t="s">
        <v>182</v>
      </c>
      <c r="B23" s="32" t="s">
        <v>55</v>
      </c>
      <c r="C23" s="21"/>
      <c r="D23" s="21"/>
      <c r="E23" s="21"/>
      <c r="F23" s="21"/>
      <c r="G23" s="21"/>
      <c r="H23" s="22"/>
    </row>
    <row r="24" ht="15.75" customHeight="1">
      <c r="A24" s="31" t="s">
        <v>182</v>
      </c>
      <c r="B24" s="32" t="s">
        <v>94</v>
      </c>
      <c r="C24" s="21"/>
      <c r="D24" s="21"/>
      <c r="E24" s="21"/>
      <c r="F24" s="21"/>
      <c r="G24" s="21"/>
      <c r="H24" s="22"/>
    </row>
    <row r="25" ht="15.75" customHeight="1"/>
    <row r="26" ht="15.75" customHeight="1">
      <c r="A26" s="52" t="s">
        <v>183</v>
      </c>
      <c r="B26" s="5"/>
      <c r="C26" s="5"/>
      <c r="D26" s="5"/>
    </row>
    <row r="27" ht="15.75" customHeight="1">
      <c r="A27" s="53" t="s">
        <v>5</v>
      </c>
      <c r="B27" s="54" t="s">
        <v>184</v>
      </c>
      <c r="C27" s="22"/>
      <c r="D27" s="54" t="s">
        <v>185</v>
      </c>
      <c r="E27" s="22"/>
      <c r="F27" s="54" t="s">
        <v>186</v>
      </c>
      <c r="G27" s="21"/>
      <c r="H27" s="22"/>
    </row>
    <row r="28" ht="15.75" customHeight="1">
      <c r="A28" s="23">
        <v>1.0</v>
      </c>
      <c r="B28" s="20">
        <f>IFERROR(__xludf.DUMMYFUNCTION("FILTER('Diseño'!D:D,'Diseño'!H:H=$C$5)"),2.0)</f>
        <v>2</v>
      </c>
      <c r="C28" s="22"/>
      <c r="D28" s="20" t="str">
        <f>IFERROR(__xludf.DUMMYFUNCTION("FILTER('Diseño'!E:E,'Diseño'!H:H=$C$5)"),"Papel estratégico de las TIC")</f>
        <v>Papel estratégico de las TIC</v>
      </c>
      <c r="E28" s="22"/>
      <c r="F28" s="20" t="str">
        <f>IFERROR(__xludf.DUMMYFUNCTION("FILTER('Diseño'!F:F,'Diseño'!H:H=$C$5)"),"Historia de las TIC")</f>
        <v>Historia de las TIC</v>
      </c>
      <c r="G28" s="21"/>
      <c r="H28" s="22"/>
    </row>
    <row r="29" ht="15.75" customHeight="1">
      <c r="A29" s="23">
        <v>2.0</v>
      </c>
      <c r="B29" s="20">
        <f>IFERROR(__xludf.DUMMYFUNCTION("""COMPUTED_VALUE"""),2.0)</f>
        <v>2</v>
      </c>
      <c r="C29" s="22"/>
      <c r="D29" s="20" t="str">
        <f>IFERROR(__xludf.DUMMYFUNCTION("""COMPUTED_VALUE"""),"Papel estratégico de las TIC")</f>
        <v>Papel estratégico de las TIC</v>
      </c>
      <c r="E29" s="22"/>
      <c r="F29" s="20" t="str">
        <f>IFERROR(__xludf.DUMMYFUNCTION("""COMPUTED_VALUE"""),"Tipos de TIC")</f>
        <v>Tipos de TIC</v>
      </c>
      <c r="G29" s="21"/>
      <c r="H29" s="22"/>
    </row>
    <row r="30" ht="15.75" customHeight="1">
      <c r="A30" s="23">
        <v>3.0</v>
      </c>
      <c r="B30" s="20">
        <f>IFERROR(__xludf.DUMMYFUNCTION("""COMPUTED_VALUE"""),2.0)</f>
        <v>2</v>
      </c>
      <c r="C30" s="22"/>
      <c r="D30" s="20" t="str">
        <f>IFERROR(__xludf.DUMMYFUNCTION("""COMPUTED_VALUE"""),"Papel estratégico de las TIC")</f>
        <v>Papel estratégico de las TIC</v>
      </c>
      <c r="E30" s="22"/>
      <c r="F30" s="20" t="str">
        <f>IFERROR(__xludf.DUMMYFUNCTION("""COMPUTED_VALUE"""),"Importancia en la empresa")</f>
        <v>Importancia en la empresa</v>
      </c>
      <c r="G30" s="21"/>
      <c r="H30" s="22"/>
    </row>
    <row r="31" ht="15.75" customHeight="1">
      <c r="A31" s="23">
        <v>4.0</v>
      </c>
      <c r="B31" s="20">
        <f>IFERROR(__xludf.DUMMYFUNCTION("""COMPUTED_VALUE"""),2.0)</f>
        <v>2</v>
      </c>
      <c r="C31" s="22"/>
      <c r="D31" s="20" t="str">
        <f>IFERROR(__xludf.DUMMYFUNCTION("""COMPUTED_VALUE"""),"Papel estratégico de las TIC")</f>
        <v>Papel estratégico de las TIC</v>
      </c>
      <c r="E31" s="22"/>
      <c r="F31" s="20" t="str">
        <f>IFERROR(__xludf.DUMMYFUNCTION("""COMPUTED_VALUE"""),"Desafíos actuales")</f>
        <v>Desafíos actuales</v>
      </c>
      <c r="G31" s="21"/>
      <c r="H31" s="22"/>
    </row>
    <row r="32" ht="15.75" customHeight="1">
      <c r="A32" s="23">
        <v>5.0</v>
      </c>
      <c r="B32" s="20">
        <f>IFERROR(__xludf.DUMMYFUNCTION("""COMPUTED_VALUE"""),2.0)</f>
        <v>2</v>
      </c>
      <c r="C32" s="22"/>
      <c r="D32" s="20" t="str">
        <f>IFERROR(__xludf.DUMMYFUNCTION("""COMPUTED_VALUE"""),"Papel estratégico de las TIC")</f>
        <v>Papel estratégico de las TIC</v>
      </c>
      <c r="E32" s="22"/>
      <c r="F32" s="20" t="str">
        <f>IFERROR(__xludf.DUMMYFUNCTION("""COMPUTED_VALUE"""),"Ejemplos de uso de TIC en empresas")</f>
        <v>Ejemplos de uso de TIC en empresas</v>
      </c>
      <c r="G32" s="21"/>
      <c r="H32" s="22"/>
    </row>
    <row r="33" ht="15.75" customHeight="1">
      <c r="A33" s="23">
        <v>6.0</v>
      </c>
      <c r="B33" s="20">
        <f>IFERROR(__xludf.DUMMYFUNCTION("""COMPUTED_VALUE"""),2.0)</f>
        <v>2</v>
      </c>
      <c r="C33" s="22"/>
      <c r="D33" s="20" t="str">
        <f>IFERROR(__xludf.DUMMYFUNCTION("""COMPUTED_VALUE"""),"Papel estratégico de las TIC")</f>
        <v>Papel estratégico de las TIC</v>
      </c>
      <c r="E33" s="22"/>
      <c r="F33" s="20" t="str">
        <f>IFERROR(__xludf.DUMMYFUNCTION("""COMPUTED_VALUE"""),"Futuro de las TIC")</f>
        <v>Futuro de las TIC</v>
      </c>
      <c r="G33" s="21"/>
      <c r="H33" s="22"/>
    </row>
    <row r="34" ht="15.75" customHeight="1">
      <c r="A34" s="23">
        <v>7.0</v>
      </c>
      <c r="B34" s="20">
        <f>IFERROR(__xludf.DUMMYFUNCTION("""COMPUTED_VALUE"""),2.0)</f>
        <v>2</v>
      </c>
      <c r="C34" s="22"/>
      <c r="D34" s="20" t="str">
        <f>IFERROR(__xludf.DUMMYFUNCTION("""COMPUTED_VALUE"""),"Sistemas de información en negocios globales")</f>
        <v>Sistemas de información en negocios globales</v>
      </c>
      <c r="E34" s="22"/>
      <c r="F34" s="20" t="str">
        <f>IFERROR(__xludf.DUMMYFUNCTION("""COMPUTED_VALUE"""),"Definición de sistemas en negocios globales")</f>
        <v>Definición de sistemas en negocios globales</v>
      </c>
      <c r="G34" s="21"/>
      <c r="H34" s="22"/>
    </row>
    <row r="35" ht="15.75" customHeight="1"/>
    <row r="36" ht="15.75" customHeight="1">
      <c r="A36" s="52" t="s">
        <v>187</v>
      </c>
    </row>
    <row r="37" ht="15.75" customHeight="1">
      <c r="A37" s="5"/>
      <c r="B37" s="5"/>
      <c r="C37" s="5"/>
      <c r="D37" s="5"/>
      <c r="E37" s="5"/>
      <c r="F37" s="5"/>
      <c r="G37" s="5"/>
      <c r="H37" s="5"/>
    </row>
    <row r="38" ht="15.75" customHeight="1">
      <c r="A38" s="53" t="s">
        <v>188</v>
      </c>
      <c r="B38" s="53" t="s">
        <v>189</v>
      </c>
      <c r="C38" s="56" t="s">
        <v>190</v>
      </c>
      <c r="D38" s="57" t="s">
        <v>125</v>
      </c>
      <c r="E38" s="21"/>
      <c r="F38" s="21"/>
      <c r="G38" s="21"/>
      <c r="H38" s="22"/>
    </row>
    <row r="39" ht="15.75" customHeight="1">
      <c r="A39" s="23" t="s">
        <v>191</v>
      </c>
      <c r="B39" s="23" t="s">
        <v>192</v>
      </c>
      <c r="C39" s="58" t="s">
        <v>193</v>
      </c>
      <c r="D39" s="32">
        <v>10.0</v>
      </c>
      <c r="E39" s="21"/>
      <c r="F39" s="21"/>
      <c r="G39" s="21"/>
      <c r="H39" s="22"/>
    </row>
    <row r="40" ht="15.75" customHeight="1">
      <c r="A40" s="23" t="s">
        <v>194</v>
      </c>
      <c r="B40" s="23" t="s">
        <v>192</v>
      </c>
      <c r="C40" s="23" t="s">
        <v>195</v>
      </c>
      <c r="D40" s="32">
        <v>5.0</v>
      </c>
      <c r="E40" s="21"/>
      <c r="F40" s="21"/>
      <c r="G40" s="21"/>
      <c r="H40" s="22"/>
    </row>
    <row r="41" ht="15.75" customHeight="1">
      <c r="A41" s="23" t="s">
        <v>196</v>
      </c>
      <c r="B41" s="23" t="s">
        <v>197</v>
      </c>
      <c r="C41" s="58" t="s">
        <v>198</v>
      </c>
      <c r="D41" s="32">
        <v>25.0</v>
      </c>
      <c r="E41" s="21"/>
      <c r="F41" s="21"/>
      <c r="G41" s="21"/>
      <c r="H41" s="22"/>
    </row>
    <row r="42" ht="15.75" customHeight="1">
      <c r="A42" s="23" t="s">
        <v>199</v>
      </c>
      <c r="B42" s="23" t="s">
        <v>192</v>
      </c>
      <c r="C42" s="58" t="s">
        <v>200</v>
      </c>
      <c r="D42" s="32">
        <v>15.0</v>
      </c>
      <c r="E42" s="21"/>
      <c r="F42" s="21"/>
      <c r="G42" s="21"/>
      <c r="H42" s="22"/>
    </row>
    <row r="43" ht="15.75" customHeight="1"/>
    <row r="44" ht="15.75" customHeight="1">
      <c r="A44" s="42" t="s">
        <v>201</v>
      </c>
      <c r="G44" s="35" t="s">
        <v>125</v>
      </c>
      <c r="H44" s="51">
        <f>B50</f>
        <v>40</v>
      </c>
    </row>
    <row r="45" ht="15.75" customHeight="1">
      <c r="G45" s="28" t="s">
        <v>202</v>
      </c>
    </row>
    <row r="46" ht="15.75" customHeight="1">
      <c r="A46" s="28" t="s">
        <v>203</v>
      </c>
    </row>
    <row r="47">
      <c r="A47" s="31" t="s">
        <v>204</v>
      </c>
      <c r="B47" s="32" t="s">
        <v>94</v>
      </c>
      <c r="C47" s="21"/>
      <c r="D47" s="21"/>
      <c r="E47" s="21"/>
      <c r="F47" s="21"/>
      <c r="G47" s="21"/>
      <c r="H47" s="22"/>
    </row>
    <row r="48" ht="15.75" customHeight="1">
      <c r="A48" s="31" t="s">
        <v>205</v>
      </c>
      <c r="B48" s="32" t="s">
        <v>231</v>
      </c>
      <c r="C48" s="21"/>
      <c r="D48" s="21"/>
      <c r="E48" s="21"/>
      <c r="F48" s="21"/>
      <c r="G48" s="21"/>
      <c r="H48" s="22"/>
    </row>
    <row r="49" ht="15.75" customHeight="1">
      <c r="A49" s="31" t="s">
        <v>170</v>
      </c>
      <c r="B49" s="62">
        <v>0.0</v>
      </c>
      <c r="C49" s="21"/>
      <c r="D49" s="21"/>
      <c r="E49" s="21"/>
      <c r="F49" s="21"/>
      <c r="G49" s="21"/>
      <c r="H49" s="22"/>
    </row>
    <row r="50" ht="15.75" customHeight="1">
      <c r="A50" s="31" t="s">
        <v>125</v>
      </c>
      <c r="B50" s="32">
        <v>40.0</v>
      </c>
      <c r="C50" s="21"/>
      <c r="D50" s="21"/>
      <c r="E50" s="21"/>
      <c r="F50" s="21"/>
      <c r="G50" s="21"/>
      <c r="H50" s="22"/>
    </row>
    <row r="51" ht="15.75" customHeight="1">
      <c r="A51" s="59" t="s">
        <v>207</v>
      </c>
      <c r="B51" s="5"/>
      <c r="C51" s="5"/>
      <c r="D51" s="5"/>
      <c r="E51" s="5"/>
      <c r="F51" s="5"/>
      <c r="G51" s="5"/>
      <c r="H51" s="5"/>
    </row>
    <row r="52" ht="15.75" customHeight="1">
      <c r="A52" s="44" t="s">
        <v>208</v>
      </c>
      <c r="B52" s="21"/>
      <c r="C52" s="21"/>
      <c r="D52" s="21"/>
      <c r="E52" s="21"/>
      <c r="F52" s="21"/>
      <c r="G52" s="21"/>
      <c r="H52" s="22"/>
    </row>
    <row r="53" ht="15.75" customHeight="1">
      <c r="A53" s="45" t="s">
        <v>232</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8" t="s">
        <v>210</v>
      </c>
    </row>
    <row r="58">
      <c r="A58" s="31" t="s">
        <v>204</v>
      </c>
      <c r="B58" s="20"/>
      <c r="C58" s="21"/>
      <c r="D58" s="21"/>
      <c r="E58" s="21"/>
      <c r="F58" s="21"/>
      <c r="G58" s="21"/>
      <c r="H58" s="22"/>
    </row>
    <row r="59" ht="15.75" customHeight="1">
      <c r="A59" s="31" t="s">
        <v>205</v>
      </c>
      <c r="B59" s="20"/>
      <c r="C59" s="21"/>
      <c r="D59" s="21"/>
      <c r="E59" s="21"/>
      <c r="F59" s="21"/>
      <c r="G59" s="21"/>
      <c r="H59" s="22"/>
    </row>
    <row r="60" ht="15.75" customHeight="1">
      <c r="A60" s="31" t="s">
        <v>170</v>
      </c>
      <c r="B60" s="62"/>
      <c r="C60" s="21"/>
      <c r="D60" s="21"/>
      <c r="E60" s="21"/>
      <c r="F60" s="21"/>
      <c r="G60" s="21"/>
      <c r="H60" s="22"/>
    </row>
    <row r="61" ht="15.75" customHeight="1">
      <c r="A61" s="31" t="s">
        <v>125</v>
      </c>
      <c r="B61" s="62"/>
      <c r="C61" s="21"/>
      <c r="D61" s="21"/>
      <c r="E61" s="21"/>
      <c r="F61" s="21"/>
      <c r="G61" s="21"/>
      <c r="H61" s="22"/>
    </row>
    <row r="62" ht="15.75" customHeight="1">
      <c r="A62" s="63" t="s">
        <v>211</v>
      </c>
      <c r="B62" s="5"/>
      <c r="C62" s="5"/>
      <c r="D62" s="5"/>
      <c r="E62" s="5"/>
      <c r="F62" s="5"/>
      <c r="G62" s="5"/>
      <c r="H62" s="5"/>
    </row>
    <row r="63" ht="15.75" customHeight="1">
      <c r="A63" s="44" t="s">
        <v>208</v>
      </c>
      <c r="B63" s="21"/>
      <c r="C63" s="21"/>
      <c r="D63" s="21"/>
      <c r="E63" s="21"/>
      <c r="F63" s="21"/>
      <c r="G63" s="21"/>
      <c r="H63" s="22"/>
    </row>
    <row r="64" ht="15.75" customHeight="1">
      <c r="A64" s="64"/>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212</v>
      </c>
      <c r="G68" s="35" t="s">
        <v>125</v>
      </c>
      <c r="H68" s="51">
        <f>B70</f>
        <v>15</v>
      </c>
    </row>
    <row r="69" ht="15.75" customHeight="1">
      <c r="G69" s="28" t="s">
        <v>213</v>
      </c>
    </row>
    <row r="70" ht="15.75" customHeight="1">
      <c r="A70" s="31" t="s">
        <v>125</v>
      </c>
      <c r="B70" s="65">
        <v>15.0</v>
      </c>
      <c r="C70" s="21"/>
      <c r="D70" s="21"/>
      <c r="E70" s="21"/>
      <c r="F70" s="21"/>
      <c r="G70" s="21"/>
      <c r="H70" s="22"/>
    </row>
    <row r="71" ht="15.75" customHeight="1">
      <c r="A71" s="57" t="s">
        <v>214</v>
      </c>
      <c r="B71" s="21"/>
      <c r="C71" s="21"/>
      <c r="D71" s="21"/>
      <c r="E71" s="21"/>
      <c r="F71" s="21"/>
      <c r="G71" s="21"/>
      <c r="H71" s="22"/>
    </row>
    <row r="72" ht="15.75" customHeight="1">
      <c r="A72" s="45" t="s">
        <v>233</v>
      </c>
      <c r="B72" s="46"/>
      <c r="C72" s="46"/>
      <c r="D72" s="46"/>
      <c r="E72" s="46"/>
      <c r="F72" s="46"/>
      <c r="G72" s="46"/>
      <c r="H72" s="47"/>
    </row>
    <row r="73" ht="15.75" customHeight="1">
      <c r="A73" s="48"/>
      <c r="B73" s="49"/>
      <c r="C73" s="49"/>
      <c r="D73" s="49"/>
      <c r="E73" s="49"/>
      <c r="F73" s="49"/>
      <c r="G73" s="49"/>
      <c r="H73" s="50"/>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8" t="s">
        <v>169</v>
      </c>
    </row>
    <row r="3" ht="15.75" customHeight="1"/>
    <row r="4" ht="15.75" customHeight="1">
      <c r="B4" s="19" t="s">
        <v>1</v>
      </c>
      <c r="C4" s="39" t="str">
        <f>'Diseño'!C4</f>
        <v>786 - Sistemas Organizacionales y Gerenciales 1</v>
      </c>
      <c r="D4" s="21"/>
      <c r="E4" s="21"/>
      <c r="F4" s="21"/>
      <c r="G4" s="22"/>
    </row>
    <row r="5" ht="15.75" customHeight="1">
      <c r="B5" s="23" t="s">
        <v>11</v>
      </c>
      <c r="C5" s="32">
        <v>7.0</v>
      </c>
      <c r="D5" s="21"/>
      <c r="E5" s="21"/>
      <c r="F5" s="21"/>
      <c r="G5" s="22"/>
    </row>
    <row r="6" ht="15.75" customHeight="1">
      <c r="B6" s="40" t="s">
        <v>122</v>
      </c>
      <c r="C6" s="20">
        <f>H10+H21+H44+H68</f>
        <v>105</v>
      </c>
      <c r="D6" s="21"/>
      <c r="E6" s="21"/>
      <c r="F6" s="21"/>
      <c r="G6" s="22"/>
      <c r="I6" s="5"/>
    </row>
    <row r="7" ht="15.75" customHeight="1">
      <c r="B7" s="40" t="s">
        <v>170</v>
      </c>
      <c r="C7" s="20">
        <f>B49+B60</f>
        <v>0</v>
      </c>
      <c r="D7" s="21"/>
      <c r="E7" s="21"/>
      <c r="F7" s="21"/>
      <c r="G7" s="22"/>
    </row>
    <row r="8" ht="15.75" customHeight="1">
      <c r="B8" s="40" t="s">
        <v>171</v>
      </c>
      <c r="C8" s="41"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2" t="s">
        <v>172</v>
      </c>
      <c r="G10" s="35" t="s">
        <v>125</v>
      </c>
      <c r="H10" s="43">
        <f>B13</f>
        <v>5</v>
      </c>
    </row>
    <row r="11" ht="15.75" customHeight="1">
      <c r="G11" s="28" t="s">
        <v>173</v>
      </c>
    </row>
    <row r="12" ht="15.75" customHeight="1">
      <c r="A12" s="31" t="s">
        <v>174</v>
      </c>
      <c r="B12" s="32" t="s">
        <v>175</v>
      </c>
      <c r="C12" s="21"/>
      <c r="D12" s="21"/>
      <c r="E12" s="21"/>
      <c r="F12" s="21"/>
      <c r="G12" s="21"/>
      <c r="H12" s="22"/>
    </row>
    <row r="13" ht="15.75" customHeight="1">
      <c r="A13" s="33" t="s">
        <v>125</v>
      </c>
      <c r="B13" s="32">
        <v>5.0</v>
      </c>
      <c r="C13" s="21"/>
      <c r="D13" s="21"/>
      <c r="E13" s="21"/>
      <c r="F13" s="21"/>
      <c r="G13" s="21"/>
      <c r="H13" s="22"/>
    </row>
    <row r="14" ht="15.75" customHeight="1">
      <c r="A14" s="44" t="s">
        <v>176</v>
      </c>
      <c r="B14" s="21"/>
      <c r="C14" s="21"/>
      <c r="D14" s="21"/>
      <c r="E14" s="21"/>
      <c r="F14" s="21"/>
      <c r="G14" s="21"/>
      <c r="H14" s="22"/>
    </row>
    <row r="15" ht="15.75" customHeight="1">
      <c r="A15" s="45" t="s">
        <v>234</v>
      </c>
      <c r="B15" s="46"/>
      <c r="C15" s="46"/>
      <c r="D15" s="46"/>
      <c r="E15" s="46"/>
      <c r="F15" s="46"/>
      <c r="G15" s="46"/>
      <c r="H15" s="47"/>
    </row>
    <row r="16" ht="15.75" customHeight="1">
      <c r="A16" s="48"/>
      <c r="B16" s="49"/>
      <c r="C16" s="49"/>
      <c r="D16" s="49"/>
      <c r="E16" s="49"/>
      <c r="F16" s="49"/>
      <c r="G16" s="49"/>
      <c r="H16" s="50"/>
    </row>
    <row r="17" ht="15.75" customHeight="1">
      <c r="A17" s="44" t="s">
        <v>178</v>
      </c>
      <c r="B17" s="21"/>
      <c r="C17" s="21"/>
      <c r="D17" s="21"/>
      <c r="E17" s="21"/>
      <c r="F17" s="21"/>
      <c r="G17" s="21"/>
      <c r="H17" s="22"/>
    </row>
    <row r="18" ht="15.75" customHeight="1">
      <c r="A18" s="45" t="s">
        <v>235</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180</v>
      </c>
      <c r="G21" s="35" t="s">
        <v>125</v>
      </c>
      <c r="H21" s="51">
        <f>SUM(D39:H42)</f>
        <v>60</v>
      </c>
      <c r="I21" s="5"/>
    </row>
    <row r="22" ht="15.75" customHeight="1">
      <c r="G22" s="28" t="s">
        <v>181</v>
      </c>
    </row>
    <row r="23" ht="15.75" customHeight="1">
      <c r="A23" s="31" t="s">
        <v>182</v>
      </c>
      <c r="B23" s="32" t="s">
        <v>55</v>
      </c>
      <c r="C23" s="21"/>
      <c r="D23" s="21"/>
      <c r="E23" s="21"/>
      <c r="F23" s="21"/>
      <c r="G23" s="21"/>
      <c r="H23" s="22"/>
    </row>
    <row r="24" ht="15.75" customHeight="1">
      <c r="A24" s="31" t="s">
        <v>182</v>
      </c>
      <c r="B24" s="32" t="s">
        <v>67</v>
      </c>
      <c r="C24" s="21"/>
      <c r="D24" s="21"/>
      <c r="E24" s="21"/>
      <c r="F24" s="21"/>
      <c r="G24" s="21"/>
      <c r="H24" s="22"/>
    </row>
    <row r="25" ht="15.75" customHeight="1"/>
    <row r="26" ht="15.75" customHeight="1">
      <c r="A26" s="52" t="s">
        <v>183</v>
      </c>
      <c r="B26" s="5"/>
      <c r="C26" s="5"/>
      <c r="D26" s="5"/>
    </row>
    <row r="27" ht="15.75" customHeight="1">
      <c r="A27" s="53" t="s">
        <v>5</v>
      </c>
      <c r="B27" s="54" t="s">
        <v>184</v>
      </c>
      <c r="C27" s="22"/>
      <c r="D27" s="54" t="s">
        <v>185</v>
      </c>
      <c r="E27" s="22"/>
      <c r="F27" s="54" t="s">
        <v>186</v>
      </c>
      <c r="G27" s="21"/>
      <c r="H27" s="22"/>
    </row>
    <row r="28" ht="15.75" customHeight="1">
      <c r="A28" s="23">
        <v>1.0</v>
      </c>
      <c r="B28" s="20">
        <f>IFERROR(__xludf.DUMMYFUNCTION("FILTER('Diseño'!D:D,'Diseño'!H:H=$C$5)"),2.0)</f>
        <v>2</v>
      </c>
      <c r="C28" s="22"/>
      <c r="D28" s="20" t="str">
        <f>IFERROR(__xludf.DUMMYFUNCTION("FILTER('Diseño'!E:E,'Diseño'!H:H=$C$5)"),"Sistemas de información en negocios globales")</f>
        <v>Sistemas de información en negocios globales</v>
      </c>
      <c r="E28" s="22"/>
      <c r="F28" s="20" t="str">
        <f>IFERROR(__xludf.DUMMYFUNCTION("FILTER('Diseño'!F:F,'Diseño'!H:H=$C$5)"),"Impacto en la globalización")</f>
        <v>Impacto en la globalización</v>
      </c>
      <c r="G28" s="21"/>
      <c r="H28" s="22"/>
    </row>
    <row r="29" ht="15.75" customHeight="1">
      <c r="A29" s="23">
        <v>2.0</v>
      </c>
      <c r="B29" s="20">
        <f>IFERROR(__xludf.DUMMYFUNCTION("""COMPUTED_VALUE"""),2.0)</f>
        <v>2</v>
      </c>
      <c r="C29" s="22"/>
      <c r="D29" s="20" t="str">
        <f>IFERROR(__xludf.DUMMYFUNCTION("""COMPUTED_VALUE"""),"Sistemas de información en negocios globales")</f>
        <v>Sistemas de información en negocios globales</v>
      </c>
      <c r="E29" s="22"/>
      <c r="F29" s="20" t="str">
        <f>IFERROR(__xludf.DUMMYFUNCTION("""COMPUTED_VALUE"""),"Ejemplos de implementación")</f>
        <v>Ejemplos de implementación</v>
      </c>
      <c r="G29" s="21"/>
      <c r="H29" s="22"/>
    </row>
    <row r="30" ht="15.75" customHeight="1">
      <c r="A30" s="23">
        <v>3.0</v>
      </c>
      <c r="B30" s="20">
        <f>IFERROR(__xludf.DUMMYFUNCTION("""COMPUTED_VALUE"""),2.0)</f>
        <v>2</v>
      </c>
      <c r="C30" s="22"/>
      <c r="D30" s="20" t="str">
        <f>IFERROR(__xludf.DUMMYFUNCTION("""COMPUTED_VALUE"""),"Sistemas de información en negocios globales")</f>
        <v>Sistemas de información en negocios globales</v>
      </c>
      <c r="E30" s="22"/>
      <c r="F30" s="20" t="str">
        <f>IFERROR(__xludf.DUMMYFUNCTION("""COMPUTED_VALUE"""),"Desafíos en la integración")</f>
        <v>Desafíos en la integración</v>
      </c>
      <c r="G30" s="21"/>
      <c r="H30" s="22"/>
    </row>
    <row r="31" ht="15.75" customHeight="1">
      <c r="A31" s="23">
        <v>4.0</v>
      </c>
      <c r="B31" s="20">
        <f>IFERROR(__xludf.DUMMYFUNCTION("""COMPUTED_VALUE"""),2.0)</f>
        <v>2</v>
      </c>
      <c r="C31" s="22"/>
      <c r="D31" s="20" t="str">
        <f>IFERROR(__xludf.DUMMYFUNCTION("""COMPUTED_VALUE"""),"Sistemas de información en negocios globales")</f>
        <v>Sistemas de información en negocios globales</v>
      </c>
      <c r="E31" s="22"/>
      <c r="F31" s="20" t="str">
        <f>IFERROR(__xludf.DUMMYFUNCTION("""COMPUTED_VALUE"""),"Herramientas tecnológicas")</f>
        <v>Herramientas tecnológicas</v>
      </c>
      <c r="G31" s="21"/>
      <c r="H31" s="22"/>
    </row>
    <row r="32" ht="15.75" customHeight="1">
      <c r="A32" s="23">
        <v>5.0</v>
      </c>
      <c r="B32" s="20">
        <f>IFERROR(__xludf.DUMMYFUNCTION("""COMPUTED_VALUE"""),2.0)</f>
        <v>2</v>
      </c>
      <c r="C32" s="22"/>
      <c r="D32" s="20" t="str">
        <f>IFERROR(__xludf.DUMMYFUNCTION("""COMPUTED_VALUE"""),"Sistemas de información en negocios globales")</f>
        <v>Sistemas de información en negocios globales</v>
      </c>
      <c r="E32" s="22"/>
      <c r="F32" s="20" t="str">
        <f>IFERROR(__xludf.DUMMYFUNCTION("""COMPUTED_VALUE"""),"Impacto en la cultura empresarial")</f>
        <v>Impacto en la cultura empresarial</v>
      </c>
      <c r="G32" s="21"/>
      <c r="H32" s="22"/>
    </row>
    <row r="33" ht="15.75" customHeight="1">
      <c r="A33" s="23">
        <v>6.0</v>
      </c>
      <c r="B33" s="20">
        <f>IFERROR(__xludf.DUMMYFUNCTION("""COMPUTED_VALUE"""),2.0)</f>
        <v>2</v>
      </c>
      <c r="C33" s="22"/>
      <c r="D33" s="20" t="str">
        <f>IFERROR(__xludf.DUMMYFUNCTION("""COMPUTED_VALUE"""),"Sistemas de información en negocios globales")</f>
        <v>Sistemas de información en negocios globales</v>
      </c>
      <c r="E33" s="22"/>
      <c r="F33" s="20" t="str">
        <f>IFERROR(__xludf.DUMMYFUNCTION("""COMPUTED_VALUE"""),"Futuro de los negocios globales")</f>
        <v>Futuro de los negocios globales</v>
      </c>
      <c r="G33" s="21"/>
      <c r="H33" s="22"/>
    </row>
    <row r="34" ht="15.75" customHeight="1">
      <c r="A34" s="23">
        <v>7.0</v>
      </c>
      <c r="B34" s="20">
        <f>IFERROR(__xludf.DUMMYFUNCTION("""COMPUTED_VALUE"""),2.0)</f>
        <v>2</v>
      </c>
      <c r="C34" s="22"/>
      <c r="D34" s="20" t="str">
        <f>IFERROR(__xludf.DUMMYFUNCTION("""COMPUTED_VALUE"""),"Global e-business y colaboración")</f>
        <v>Global e-business y colaboración</v>
      </c>
      <c r="E34" s="22"/>
      <c r="F34" s="20" t="str">
        <f>IFERROR(__xludf.DUMMYFUNCTION("""COMPUTED_VALUE"""),"Definición de e-business")</f>
        <v>Definición de e-business</v>
      </c>
      <c r="G34" s="21"/>
      <c r="H34" s="22"/>
    </row>
    <row r="35" ht="15.75" customHeight="1"/>
    <row r="36" ht="15.75" customHeight="1">
      <c r="A36" s="52" t="s">
        <v>187</v>
      </c>
    </row>
    <row r="37" ht="15.75" customHeight="1">
      <c r="A37" s="5"/>
      <c r="B37" s="5"/>
      <c r="C37" s="5"/>
      <c r="D37" s="5"/>
      <c r="E37" s="5"/>
      <c r="F37" s="5"/>
      <c r="G37" s="5"/>
      <c r="H37" s="5"/>
    </row>
    <row r="38" ht="15.75" customHeight="1">
      <c r="A38" s="53" t="s">
        <v>188</v>
      </c>
      <c r="B38" s="53" t="s">
        <v>189</v>
      </c>
      <c r="C38" s="56" t="s">
        <v>190</v>
      </c>
      <c r="D38" s="57" t="s">
        <v>125</v>
      </c>
      <c r="E38" s="21"/>
      <c r="F38" s="21"/>
      <c r="G38" s="21"/>
      <c r="H38" s="22"/>
    </row>
    <row r="39" ht="15.75" customHeight="1">
      <c r="A39" s="23" t="s">
        <v>191</v>
      </c>
      <c r="B39" s="23" t="s">
        <v>192</v>
      </c>
      <c r="C39" s="58" t="s">
        <v>236</v>
      </c>
      <c r="D39" s="32">
        <v>15.0</v>
      </c>
      <c r="E39" s="21"/>
      <c r="F39" s="21"/>
      <c r="G39" s="21"/>
      <c r="H39" s="22"/>
    </row>
    <row r="40" ht="15.75" customHeight="1">
      <c r="A40" s="23" t="s">
        <v>194</v>
      </c>
      <c r="B40" s="23" t="s">
        <v>192</v>
      </c>
      <c r="C40" s="58" t="s">
        <v>236</v>
      </c>
      <c r="D40" s="32">
        <v>15.0</v>
      </c>
      <c r="E40" s="21"/>
      <c r="F40" s="21"/>
      <c r="G40" s="21"/>
      <c r="H40" s="22"/>
    </row>
    <row r="41" ht="15.75" customHeight="1">
      <c r="A41" s="23" t="s">
        <v>196</v>
      </c>
      <c r="B41" s="23" t="s">
        <v>197</v>
      </c>
      <c r="C41" s="58" t="s">
        <v>236</v>
      </c>
      <c r="D41" s="32">
        <v>15.0</v>
      </c>
      <c r="E41" s="21"/>
      <c r="F41" s="21"/>
      <c r="G41" s="21"/>
      <c r="H41" s="22"/>
    </row>
    <row r="42" ht="15.75" customHeight="1">
      <c r="A42" s="23" t="s">
        <v>199</v>
      </c>
      <c r="B42" s="23" t="s">
        <v>192</v>
      </c>
      <c r="C42" s="58" t="s">
        <v>236</v>
      </c>
      <c r="D42" s="32">
        <v>15.0</v>
      </c>
      <c r="E42" s="21"/>
      <c r="F42" s="21"/>
      <c r="G42" s="21"/>
      <c r="H42" s="22"/>
    </row>
    <row r="43" ht="15.75" customHeight="1"/>
    <row r="44" ht="15.75" customHeight="1">
      <c r="A44" s="42" t="s">
        <v>201</v>
      </c>
      <c r="G44" s="35" t="s">
        <v>125</v>
      </c>
      <c r="H44" s="51">
        <f>B50</f>
        <v>30</v>
      </c>
    </row>
    <row r="45" ht="15.75" customHeight="1">
      <c r="G45" s="28" t="s">
        <v>202</v>
      </c>
    </row>
    <row r="46" ht="15.75" customHeight="1">
      <c r="A46" s="28" t="s">
        <v>203</v>
      </c>
    </row>
    <row r="47">
      <c r="A47" s="31" t="s">
        <v>204</v>
      </c>
      <c r="B47" s="32" t="s">
        <v>67</v>
      </c>
      <c r="C47" s="21"/>
      <c r="D47" s="21"/>
      <c r="E47" s="21"/>
      <c r="F47" s="21"/>
      <c r="G47" s="21"/>
      <c r="H47" s="22"/>
    </row>
    <row r="48" ht="15.75" customHeight="1">
      <c r="A48" s="31" t="s">
        <v>205</v>
      </c>
      <c r="B48" s="32" t="s">
        <v>231</v>
      </c>
      <c r="C48" s="21"/>
      <c r="D48" s="21"/>
      <c r="E48" s="21"/>
      <c r="F48" s="21"/>
      <c r="G48" s="21"/>
      <c r="H48" s="22"/>
    </row>
    <row r="49" ht="15.75" customHeight="1">
      <c r="A49" s="31" t="s">
        <v>170</v>
      </c>
      <c r="B49" s="62">
        <v>0.0</v>
      </c>
      <c r="C49" s="21"/>
      <c r="D49" s="21"/>
      <c r="E49" s="21"/>
      <c r="F49" s="21"/>
      <c r="G49" s="21"/>
      <c r="H49" s="22"/>
    </row>
    <row r="50" ht="15.75" customHeight="1">
      <c r="A50" s="31" t="s">
        <v>125</v>
      </c>
      <c r="B50" s="32">
        <v>30.0</v>
      </c>
      <c r="C50" s="21"/>
      <c r="D50" s="21"/>
      <c r="E50" s="21"/>
      <c r="F50" s="21"/>
      <c r="G50" s="21"/>
      <c r="H50" s="22"/>
    </row>
    <row r="51" ht="15.75" customHeight="1">
      <c r="A51" s="59" t="s">
        <v>207</v>
      </c>
      <c r="B51" s="5"/>
      <c r="C51" s="5"/>
      <c r="D51" s="5"/>
      <c r="E51" s="5"/>
      <c r="F51" s="5"/>
      <c r="G51" s="5"/>
      <c r="H51" s="5"/>
    </row>
    <row r="52" ht="15.75" customHeight="1">
      <c r="A52" s="44" t="s">
        <v>208</v>
      </c>
      <c r="B52" s="21"/>
      <c r="C52" s="21"/>
      <c r="D52" s="21"/>
      <c r="E52" s="21"/>
      <c r="F52" s="21"/>
      <c r="G52" s="21"/>
      <c r="H52" s="22"/>
    </row>
    <row r="53" ht="15.75" customHeight="1">
      <c r="A53" s="45" t="s">
        <v>237</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8" t="s">
        <v>210</v>
      </c>
    </row>
    <row r="58">
      <c r="A58" s="31" t="s">
        <v>204</v>
      </c>
      <c r="B58" s="20"/>
      <c r="C58" s="21"/>
      <c r="D58" s="21"/>
      <c r="E58" s="21"/>
      <c r="F58" s="21"/>
      <c r="G58" s="21"/>
      <c r="H58" s="22"/>
    </row>
    <row r="59" ht="15.75" customHeight="1">
      <c r="A59" s="31" t="s">
        <v>205</v>
      </c>
      <c r="B59" s="20"/>
      <c r="C59" s="21"/>
      <c r="D59" s="21"/>
      <c r="E59" s="21"/>
      <c r="F59" s="21"/>
      <c r="G59" s="21"/>
      <c r="H59" s="22"/>
    </row>
    <row r="60" ht="15.75" customHeight="1">
      <c r="A60" s="31" t="s">
        <v>170</v>
      </c>
      <c r="B60" s="62"/>
      <c r="C60" s="21"/>
      <c r="D60" s="21"/>
      <c r="E60" s="21"/>
      <c r="F60" s="21"/>
      <c r="G60" s="21"/>
      <c r="H60" s="22"/>
    </row>
    <row r="61" ht="15.75" customHeight="1">
      <c r="A61" s="31" t="s">
        <v>125</v>
      </c>
      <c r="B61" s="62"/>
      <c r="C61" s="21"/>
      <c r="D61" s="21"/>
      <c r="E61" s="21"/>
      <c r="F61" s="21"/>
      <c r="G61" s="21"/>
      <c r="H61" s="22"/>
    </row>
    <row r="62" ht="15.75" customHeight="1">
      <c r="A62" s="63" t="s">
        <v>211</v>
      </c>
      <c r="B62" s="5"/>
      <c r="C62" s="5"/>
      <c r="D62" s="5"/>
      <c r="E62" s="5"/>
      <c r="F62" s="5"/>
      <c r="G62" s="5"/>
      <c r="H62" s="5"/>
    </row>
    <row r="63" ht="15.75" customHeight="1">
      <c r="A63" s="44" t="s">
        <v>208</v>
      </c>
      <c r="B63" s="21"/>
      <c r="C63" s="21"/>
      <c r="D63" s="21"/>
      <c r="E63" s="21"/>
      <c r="F63" s="21"/>
      <c r="G63" s="21"/>
      <c r="H63" s="22"/>
    </row>
    <row r="64" ht="15.75" customHeight="1">
      <c r="A64" s="64"/>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212</v>
      </c>
      <c r="G68" s="35" t="s">
        <v>125</v>
      </c>
      <c r="H68" s="51">
        <f>B70</f>
        <v>10</v>
      </c>
    </row>
    <row r="69" ht="15.75" customHeight="1">
      <c r="G69" s="28" t="s">
        <v>213</v>
      </c>
    </row>
    <row r="70" ht="15.75" customHeight="1">
      <c r="A70" s="31" t="s">
        <v>125</v>
      </c>
      <c r="B70" s="65">
        <v>10.0</v>
      </c>
      <c r="C70" s="21"/>
      <c r="D70" s="21"/>
      <c r="E70" s="21"/>
      <c r="F70" s="21"/>
      <c r="G70" s="21"/>
      <c r="H70" s="22"/>
    </row>
    <row r="71" ht="15.75" customHeight="1">
      <c r="A71" s="57" t="s">
        <v>214</v>
      </c>
      <c r="B71" s="21"/>
      <c r="C71" s="21"/>
      <c r="D71" s="21"/>
      <c r="E71" s="21"/>
      <c r="F71" s="21"/>
      <c r="G71" s="21"/>
      <c r="H71" s="22"/>
    </row>
    <row r="72" ht="15.75" customHeight="1">
      <c r="A72" s="45" t="s">
        <v>238</v>
      </c>
      <c r="B72" s="46"/>
      <c r="C72" s="46"/>
      <c r="D72" s="46"/>
      <c r="E72" s="46"/>
      <c r="F72" s="46"/>
      <c r="G72" s="46"/>
      <c r="H72" s="47"/>
    </row>
    <row r="73" ht="15.75" customHeight="1">
      <c r="A73" s="48"/>
      <c r="B73" s="49"/>
      <c r="C73" s="49"/>
      <c r="D73" s="49"/>
      <c r="E73" s="49"/>
      <c r="F73" s="49"/>
      <c r="G73" s="49"/>
      <c r="H73" s="50"/>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8" t="s">
        <v>169</v>
      </c>
    </row>
    <row r="3" ht="15.75" customHeight="1"/>
    <row r="4" ht="15.75" customHeight="1">
      <c r="B4" s="19" t="s">
        <v>1</v>
      </c>
      <c r="C4" s="39" t="str">
        <f>'Diseño'!C4</f>
        <v>786 - Sistemas Organizacionales y Gerenciales 1</v>
      </c>
      <c r="D4" s="21"/>
      <c r="E4" s="21"/>
      <c r="F4" s="21"/>
      <c r="G4" s="22"/>
    </row>
    <row r="5" ht="15.75" customHeight="1">
      <c r="B5" s="23" t="s">
        <v>11</v>
      </c>
      <c r="C5" s="32">
        <v>8.0</v>
      </c>
      <c r="D5" s="21"/>
      <c r="E5" s="21"/>
      <c r="F5" s="21"/>
      <c r="G5" s="22"/>
    </row>
    <row r="6" ht="15.75" customHeight="1">
      <c r="B6" s="40" t="s">
        <v>122</v>
      </c>
      <c r="C6" s="20">
        <f>H10+H21+H44+H68</f>
        <v>105</v>
      </c>
      <c r="D6" s="21"/>
      <c r="E6" s="21"/>
      <c r="F6" s="21"/>
      <c r="G6" s="22"/>
      <c r="I6" s="5"/>
    </row>
    <row r="7" ht="15.75" customHeight="1">
      <c r="B7" s="40" t="s">
        <v>170</v>
      </c>
      <c r="C7" s="20">
        <f>B49+B60</f>
        <v>0</v>
      </c>
      <c r="D7" s="21"/>
      <c r="E7" s="21"/>
      <c r="F7" s="21"/>
      <c r="G7" s="22"/>
    </row>
    <row r="8" ht="15.75" customHeight="1">
      <c r="B8" s="40" t="s">
        <v>171</v>
      </c>
      <c r="C8" s="41"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2" t="s">
        <v>172</v>
      </c>
      <c r="G10" s="35" t="s">
        <v>125</v>
      </c>
      <c r="H10" s="43">
        <f>B13</f>
        <v>5</v>
      </c>
    </row>
    <row r="11" ht="15.75" customHeight="1">
      <c r="G11" s="28" t="s">
        <v>173</v>
      </c>
    </row>
    <row r="12" ht="15.75" customHeight="1">
      <c r="A12" s="31" t="s">
        <v>174</v>
      </c>
      <c r="B12" s="32" t="s">
        <v>239</v>
      </c>
      <c r="C12" s="21"/>
      <c r="D12" s="21"/>
      <c r="E12" s="21"/>
      <c r="F12" s="21"/>
      <c r="G12" s="21"/>
      <c r="H12" s="22"/>
    </row>
    <row r="13" ht="15.75" customHeight="1">
      <c r="A13" s="33" t="s">
        <v>125</v>
      </c>
      <c r="B13" s="32">
        <v>5.0</v>
      </c>
      <c r="C13" s="21"/>
      <c r="D13" s="21"/>
      <c r="E13" s="21"/>
      <c r="F13" s="21"/>
      <c r="G13" s="21"/>
      <c r="H13" s="22"/>
    </row>
    <row r="14" ht="15.75" customHeight="1">
      <c r="A14" s="44" t="s">
        <v>176</v>
      </c>
      <c r="B14" s="21"/>
      <c r="C14" s="21"/>
      <c r="D14" s="21"/>
      <c r="E14" s="21"/>
      <c r="F14" s="21"/>
      <c r="G14" s="21"/>
      <c r="H14" s="22"/>
    </row>
    <row r="15" ht="15.75" customHeight="1">
      <c r="A15" s="45" t="s">
        <v>240</v>
      </c>
      <c r="B15" s="46"/>
      <c r="C15" s="46"/>
      <c r="D15" s="46"/>
      <c r="E15" s="46"/>
      <c r="F15" s="46"/>
      <c r="G15" s="46"/>
      <c r="H15" s="47"/>
    </row>
    <row r="16" ht="15.75" customHeight="1">
      <c r="A16" s="48"/>
      <c r="B16" s="49"/>
      <c r="C16" s="49"/>
      <c r="D16" s="49"/>
      <c r="E16" s="49"/>
      <c r="F16" s="49"/>
      <c r="G16" s="49"/>
      <c r="H16" s="50"/>
    </row>
    <row r="17" ht="15.75" customHeight="1">
      <c r="A17" s="44" t="s">
        <v>178</v>
      </c>
      <c r="B17" s="21"/>
      <c r="C17" s="21"/>
      <c r="D17" s="21"/>
      <c r="E17" s="21"/>
      <c r="F17" s="21"/>
      <c r="G17" s="21"/>
      <c r="H17" s="22"/>
    </row>
    <row r="18" ht="15.75" customHeight="1">
      <c r="A18" s="45" t="s">
        <v>241</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180</v>
      </c>
      <c r="G21" s="35" t="s">
        <v>125</v>
      </c>
      <c r="H21" s="51">
        <f>SUM(D39:H42)</f>
        <v>60</v>
      </c>
      <c r="I21" s="5"/>
    </row>
    <row r="22" ht="15.75" customHeight="1">
      <c r="G22" s="28" t="s">
        <v>181</v>
      </c>
    </row>
    <row r="23" ht="15.75" customHeight="1">
      <c r="A23" s="31" t="s">
        <v>182</v>
      </c>
      <c r="B23" s="32" t="s">
        <v>65</v>
      </c>
      <c r="C23" s="21"/>
      <c r="D23" s="21"/>
      <c r="E23" s="21"/>
      <c r="F23" s="21"/>
      <c r="G23" s="21"/>
      <c r="H23" s="22"/>
    </row>
    <row r="24" ht="15.75" customHeight="1">
      <c r="A24" s="31" t="s">
        <v>182</v>
      </c>
      <c r="B24" s="32" t="s">
        <v>67</v>
      </c>
      <c r="C24" s="21"/>
      <c r="D24" s="21"/>
      <c r="E24" s="21"/>
      <c r="F24" s="21"/>
      <c r="G24" s="21"/>
      <c r="H24" s="22"/>
    </row>
    <row r="25" ht="15.75" customHeight="1"/>
    <row r="26" ht="15.75" customHeight="1">
      <c r="A26" s="52" t="s">
        <v>183</v>
      </c>
      <c r="B26" s="5"/>
      <c r="C26" s="5"/>
      <c r="D26" s="5"/>
    </row>
    <row r="27" ht="15.75" customHeight="1">
      <c r="A27" s="53" t="s">
        <v>5</v>
      </c>
      <c r="B27" s="54" t="s">
        <v>184</v>
      </c>
      <c r="C27" s="22"/>
      <c r="D27" s="54" t="s">
        <v>185</v>
      </c>
      <c r="E27" s="22"/>
      <c r="F27" s="54" t="s">
        <v>186</v>
      </c>
      <c r="G27" s="21"/>
      <c r="H27" s="22"/>
    </row>
    <row r="28" ht="15.75" customHeight="1">
      <c r="A28" s="23">
        <v>1.0</v>
      </c>
      <c r="B28" s="20">
        <f>IFERROR(__xludf.DUMMYFUNCTION("FILTER('Diseño'!D:D,'Diseño'!H:H=$C$5)"),2.0)</f>
        <v>2</v>
      </c>
      <c r="C28" s="22"/>
      <c r="D28" s="20" t="str">
        <f>IFERROR(__xludf.DUMMYFUNCTION("FILTER('Diseño'!E:E,'Diseño'!H:H=$C$5)"),"Global e-business y colaboración")</f>
        <v>Global e-business y colaboración</v>
      </c>
      <c r="E28" s="22"/>
      <c r="F28" s="20" t="str">
        <f>IFERROR(__xludf.DUMMYFUNCTION("FILTER('Diseño'!F:F,'Diseño'!H:H=$C$5)"),"Estrategias de colaboración")</f>
        <v>Estrategias de colaboración</v>
      </c>
      <c r="G28" s="21"/>
      <c r="H28" s="22"/>
    </row>
    <row r="29" ht="15.75" customHeight="1">
      <c r="A29" s="23">
        <v>2.0</v>
      </c>
      <c r="B29" s="20">
        <f>IFERROR(__xludf.DUMMYFUNCTION("""COMPUTED_VALUE"""),2.0)</f>
        <v>2</v>
      </c>
      <c r="C29" s="22"/>
      <c r="D29" s="20" t="str">
        <f>IFERROR(__xludf.DUMMYFUNCTION("""COMPUTED_VALUE"""),"Global e-business y colaboración")</f>
        <v>Global e-business y colaboración</v>
      </c>
      <c r="E29" s="22"/>
      <c r="F29" s="20" t="str">
        <f>IFERROR(__xludf.DUMMYFUNCTION("""COMPUTED_VALUE"""),"Ejemplos de e-business")</f>
        <v>Ejemplos de e-business</v>
      </c>
      <c r="G29" s="21"/>
      <c r="H29" s="22"/>
    </row>
    <row r="30" ht="15.75" customHeight="1">
      <c r="A30" s="23">
        <v>3.0</v>
      </c>
      <c r="B30" s="20">
        <f>IFERROR(__xludf.DUMMYFUNCTION("""COMPUTED_VALUE"""),2.0)</f>
        <v>2</v>
      </c>
      <c r="C30" s="22"/>
      <c r="D30" s="20" t="str">
        <f>IFERROR(__xludf.DUMMYFUNCTION("""COMPUTED_VALUE"""),"Global e-business y colaboración")</f>
        <v>Global e-business y colaboración</v>
      </c>
      <c r="E30" s="22"/>
      <c r="F30" s="20" t="str">
        <f>IFERROR(__xludf.DUMMYFUNCTION("""COMPUTED_VALUE"""),"Herramientas para e-business")</f>
        <v>Herramientas para e-business</v>
      </c>
      <c r="G30" s="21"/>
      <c r="H30" s="22"/>
    </row>
    <row r="31" ht="15.75" customHeight="1">
      <c r="A31" s="23">
        <v>4.0</v>
      </c>
      <c r="B31" s="20">
        <f>IFERROR(__xludf.DUMMYFUNCTION("""COMPUTED_VALUE"""),2.0)</f>
        <v>2</v>
      </c>
      <c r="C31" s="22"/>
      <c r="D31" s="20" t="str">
        <f>IFERROR(__xludf.DUMMYFUNCTION("""COMPUTED_VALUE"""),"Global e-business y colaboración")</f>
        <v>Global e-business y colaboración</v>
      </c>
      <c r="E31" s="22"/>
      <c r="F31" s="20" t="str">
        <f>IFERROR(__xludf.DUMMYFUNCTION("""COMPUTED_VALUE"""),"Casos de éxito")</f>
        <v>Casos de éxito</v>
      </c>
      <c r="G31" s="21"/>
      <c r="H31" s="22"/>
    </row>
    <row r="32" ht="15.75" customHeight="1">
      <c r="A32" s="23">
        <v>5.0</v>
      </c>
      <c r="B32" s="20">
        <f>IFERROR(__xludf.DUMMYFUNCTION("""COMPUTED_VALUE"""),2.0)</f>
        <v>2</v>
      </c>
      <c r="C32" s="22"/>
      <c r="D32" s="20" t="str">
        <f>IFERROR(__xludf.DUMMYFUNCTION("""COMPUTED_VALUE"""),"Global e-business y colaboración")</f>
        <v>Global e-business y colaboración</v>
      </c>
      <c r="E32" s="22"/>
      <c r="F32" s="20" t="str">
        <f>IFERROR(__xludf.DUMMYFUNCTION("""COMPUTED_VALUE"""),"Desafíos en e-business")</f>
        <v>Desafíos en e-business</v>
      </c>
      <c r="G32" s="21"/>
      <c r="H32" s="22"/>
    </row>
    <row r="33" ht="15.75" customHeight="1">
      <c r="A33" s="23">
        <v>6.0</v>
      </c>
      <c r="B33" s="20">
        <f>IFERROR(__xludf.DUMMYFUNCTION("""COMPUTED_VALUE"""),2.0)</f>
        <v>2</v>
      </c>
      <c r="C33" s="22"/>
      <c r="D33" s="20" t="str">
        <f>IFERROR(__xludf.DUMMYFUNCTION("""COMPUTED_VALUE"""),"Global e-business y colaboración")</f>
        <v>Global e-business y colaboración</v>
      </c>
      <c r="E33" s="22"/>
      <c r="F33" s="20" t="str">
        <f>IFERROR(__xludf.DUMMYFUNCTION("""COMPUTED_VALUE"""),"Futuro del e-business")</f>
        <v>Futuro del e-business</v>
      </c>
      <c r="G33" s="21"/>
      <c r="H33" s="22"/>
    </row>
    <row r="34" ht="15.75" customHeight="1">
      <c r="A34" s="23">
        <v>7.0</v>
      </c>
      <c r="B34" s="20">
        <f>IFERROR(__xludf.DUMMYFUNCTION("""COMPUTED_VALUE"""),2.0)</f>
        <v>2</v>
      </c>
      <c r="C34" s="22"/>
      <c r="D34" s="20" t="str">
        <f>IFERROR(__xludf.DUMMYFUNCTION("""COMPUTED_VALUE"""),"Problemas éticos y sociales en sistemas")</f>
        <v>Problemas éticos y sociales en sistemas</v>
      </c>
      <c r="E34" s="22"/>
      <c r="F34" s="20" t="str">
        <f>IFERROR(__xludf.DUMMYFUNCTION("""COMPUTED_VALUE"""),"Definición de problemas éticos")</f>
        <v>Definición de problemas éticos</v>
      </c>
      <c r="G34" s="21"/>
      <c r="H34" s="22"/>
    </row>
    <row r="35" ht="15.75" customHeight="1"/>
    <row r="36" ht="15.75" customHeight="1">
      <c r="A36" s="52" t="s">
        <v>187</v>
      </c>
    </row>
    <row r="37" ht="15.75" customHeight="1">
      <c r="A37" s="5"/>
      <c r="B37" s="5"/>
      <c r="C37" s="5"/>
      <c r="D37" s="5"/>
      <c r="E37" s="5"/>
      <c r="F37" s="5"/>
      <c r="G37" s="5"/>
      <c r="H37" s="5"/>
    </row>
    <row r="38" ht="15.75" customHeight="1">
      <c r="A38" s="53" t="s">
        <v>188</v>
      </c>
      <c r="B38" s="53" t="s">
        <v>189</v>
      </c>
      <c r="C38" s="56" t="s">
        <v>190</v>
      </c>
      <c r="D38" s="57" t="s">
        <v>125</v>
      </c>
      <c r="E38" s="21"/>
      <c r="F38" s="21"/>
      <c r="G38" s="21"/>
      <c r="H38" s="22"/>
    </row>
    <row r="39" ht="15.75" customHeight="1">
      <c r="A39" s="23" t="s">
        <v>191</v>
      </c>
      <c r="B39" s="23" t="s">
        <v>192</v>
      </c>
      <c r="C39" s="58" t="s">
        <v>236</v>
      </c>
      <c r="D39" s="32">
        <v>15.0</v>
      </c>
      <c r="E39" s="21"/>
      <c r="F39" s="21"/>
      <c r="G39" s="21"/>
      <c r="H39" s="22"/>
    </row>
    <row r="40" ht="15.75" customHeight="1">
      <c r="A40" s="23" t="s">
        <v>194</v>
      </c>
      <c r="B40" s="23" t="s">
        <v>192</v>
      </c>
      <c r="C40" s="58" t="s">
        <v>236</v>
      </c>
      <c r="D40" s="32">
        <v>15.0</v>
      </c>
      <c r="E40" s="21"/>
      <c r="F40" s="21"/>
      <c r="G40" s="21"/>
      <c r="H40" s="22"/>
    </row>
    <row r="41" ht="15.75" customHeight="1">
      <c r="A41" s="23" t="s">
        <v>196</v>
      </c>
      <c r="B41" s="23" t="s">
        <v>197</v>
      </c>
      <c r="C41" s="58" t="s">
        <v>236</v>
      </c>
      <c r="D41" s="32">
        <v>15.0</v>
      </c>
      <c r="E41" s="21"/>
      <c r="F41" s="21"/>
      <c r="G41" s="21"/>
      <c r="H41" s="22"/>
    </row>
    <row r="42" ht="15.75" customHeight="1">
      <c r="A42" s="23" t="s">
        <v>199</v>
      </c>
      <c r="B42" s="23" t="s">
        <v>192</v>
      </c>
      <c r="C42" s="58" t="s">
        <v>236</v>
      </c>
      <c r="D42" s="32">
        <v>15.0</v>
      </c>
      <c r="E42" s="21"/>
      <c r="F42" s="21"/>
      <c r="G42" s="21"/>
      <c r="H42" s="22"/>
    </row>
    <row r="43" ht="15.75" customHeight="1"/>
    <row r="44" ht="15.75" customHeight="1">
      <c r="A44" s="42" t="s">
        <v>201</v>
      </c>
      <c r="G44" s="35" t="s">
        <v>125</v>
      </c>
      <c r="H44" s="51">
        <f>B50</f>
        <v>30</v>
      </c>
    </row>
    <row r="45" ht="15.75" customHeight="1">
      <c r="G45" s="28" t="s">
        <v>202</v>
      </c>
    </row>
    <row r="46" ht="15.75" customHeight="1">
      <c r="A46" s="28" t="s">
        <v>203</v>
      </c>
    </row>
    <row r="47">
      <c r="A47" s="31" t="s">
        <v>204</v>
      </c>
      <c r="B47" s="32" t="s">
        <v>55</v>
      </c>
      <c r="C47" s="21"/>
      <c r="D47" s="21"/>
      <c r="E47" s="21"/>
      <c r="F47" s="21"/>
      <c r="G47" s="21"/>
      <c r="H47" s="22"/>
    </row>
    <row r="48" ht="15.75" customHeight="1">
      <c r="A48" s="31" t="s">
        <v>205</v>
      </c>
      <c r="B48" s="32" t="s">
        <v>231</v>
      </c>
      <c r="C48" s="21"/>
      <c r="D48" s="21"/>
      <c r="E48" s="21"/>
      <c r="F48" s="21"/>
      <c r="G48" s="21"/>
      <c r="H48" s="22"/>
    </row>
    <row r="49" ht="15.75" customHeight="1">
      <c r="A49" s="31" t="s">
        <v>170</v>
      </c>
      <c r="B49" s="62">
        <v>0.0</v>
      </c>
      <c r="C49" s="21"/>
      <c r="D49" s="21"/>
      <c r="E49" s="21"/>
      <c r="F49" s="21"/>
      <c r="G49" s="21"/>
      <c r="H49" s="22"/>
    </row>
    <row r="50" ht="15.75" customHeight="1">
      <c r="A50" s="31" t="s">
        <v>125</v>
      </c>
      <c r="B50" s="32">
        <v>30.0</v>
      </c>
      <c r="C50" s="21"/>
      <c r="D50" s="21"/>
      <c r="E50" s="21"/>
      <c r="F50" s="21"/>
      <c r="G50" s="21"/>
      <c r="H50" s="22"/>
    </row>
    <row r="51" ht="15.75" customHeight="1">
      <c r="A51" s="59" t="s">
        <v>207</v>
      </c>
      <c r="B51" s="5"/>
      <c r="C51" s="5"/>
      <c r="D51" s="5"/>
      <c r="E51" s="5"/>
      <c r="F51" s="5"/>
      <c r="G51" s="5"/>
      <c r="H51" s="5"/>
    </row>
    <row r="52" ht="15.75" customHeight="1">
      <c r="A52" s="44" t="s">
        <v>208</v>
      </c>
      <c r="B52" s="21"/>
      <c r="C52" s="21"/>
      <c r="D52" s="21"/>
      <c r="E52" s="21"/>
      <c r="F52" s="21"/>
      <c r="G52" s="21"/>
      <c r="H52" s="22"/>
    </row>
    <row r="53" ht="15.75" customHeight="1">
      <c r="A53" s="45" t="s">
        <v>242</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8" t="s">
        <v>210</v>
      </c>
    </row>
    <row r="58">
      <c r="A58" s="31" t="s">
        <v>204</v>
      </c>
      <c r="B58" s="20"/>
      <c r="C58" s="21"/>
      <c r="D58" s="21"/>
      <c r="E58" s="21"/>
      <c r="F58" s="21"/>
      <c r="G58" s="21"/>
      <c r="H58" s="22"/>
    </row>
    <row r="59" ht="15.75" customHeight="1">
      <c r="A59" s="31" t="s">
        <v>205</v>
      </c>
      <c r="B59" s="20"/>
      <c r="C59" s="21"/>
      <c r="D59" s="21"/>
      <c r="E59" s="21"/>
      <c r="F59" s="21"/>
      <c r="G59" s="21"/>
      <c r="H59" s="22"/>
    </row>
    <row r="60" ht="15.75" customHeight="1">
      <c r="A60" s="31" t="s">
        <v>170</v>
      </c>
      <c r="B60" s="62"/>
      <c r="C60" s="21"/>
      <c r="D60" s="21"/>
      <c r="E60" s="21"/>
      <c r="F60" s="21"/>
      <c r="G60" s="21"/>
      <c r="H60" s="22"/>
    </row>
    <row r="61" ht="15.75" customHeight="1">
      <c r="A61" s="31" t="s">
        <v>125</v>
      </c>
      <c r="B61" s="62"/>
      <c r="C61" s="21"/>
      <c r="D61" s="21"/>
      <c r="E61" s="21"/>
      <c r="F61" s="21"/>
      <c r="G61" s="21"/>
      <c r="H61" s="22"/>
    </row>
    <row r="62" ht="15.75" customHeight="1">
      <c r="A62" s="63" t="s">
        <v>211</v>
      </c>
      <c r="B62" s="5"/>
      <c r="C62" s="5"/>
      <c r="D62" s="5"/>
      <c r="E62" s="5"/>
      <c r="F62" s="5"/>
      <c r="G62" s="5"/>
      <c r="H62" s="5"/>
    </row>
    <row r="63" ht="15.75" customHeight="1">
      <c r="A63" s="44" t="s">
        <v>208</v>
      </c>
      <c r="B63" s="21"/>
      <c r="C63" s="21"/>
      <c r="D63" s="21"/>
      <c r="E63" s="21"/>
      <c r="F63" s="21"/>
      <c r="G63" s="21"/>
      <c r="H63" s="22"/>
    </row>
    <row r="64" ht="15.75" customHeight="1">
      <c r="A64" s="64"/>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212</v>
      </c>
      <c r="G68" s="35" t="s">
        <v>125</v>
      </c>
      <c r="H68" s="51">
        <f>B70</f>
        <v>10</v>
      </c>
    </row>
    <row r="69" ht="15.75" customHeight="1">
      <c r="G69" s="28" t="s">
        <v>213</v>
      </c>
    </row>
    <row r="70" ht="15.75" customHeight="1">
      <c r="A70" s="31" t="s">
        <v>125</v>
      </c>
      <c r="B70" s="65">
        <v>10.0</v>
      </c>
      <c r="C70" s="21"/>
      <c r="D70" s="21"/>
      <c r="E70" s="21"/>
      <c r="F70" s="21"/>
      <c r="G70" s="21"/>
      <c r="H70" s="22"/>
    </row>
    <row r="71" ht="15.75" customHeight="1">
      <c r="A71" s="57" t="s">
        <v>214</v>
      </c>
      <c r="B71" s="21"/>
      <c r="C71" s="21"/>
      <c r="D71" s="21"/>
      <c r="E71" s="21"/>
      <c r="F71" s="21"/>
      <c r="G71" s="21"/>
      <c r="H71" s="22"/>
    </row>
    <row r="72" ht="15.75" customHeight="1">
      <c r="A72" s="45" t="s">
        <v>243</v>
      </c>
      <c r="B72" s="46"/>
      <c r="C72" s="46"/>
      <c r="D72" s="46"/>
      <c r="E72" s="46"/>
      <c r="F72" s="46"/>
      <c r="G72" s="46"/>
      <c r="H72" s="47"/>
    </row>
    <row r="73" ht="15.75" customHeight="1">
      <c r="A73" s="48"/>
      <c r="B73" s="49"/>
      <c r="C73" s="49"/>
      <c r="D73" s="49"/>
      <c r="E73" s="49"/>
      <c r="F73" s="49"/>
      <c r="G73" s="49"/>
      <c r="H73" s="50"/>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8" t="s">
        <v>169</v>
      </c>
    </row>
    <row r="3" ht="15.75" customHeight="1"/>
    <row r="4" ht="15.75" customHeight="1">
      <c r="B4" s="19" t="s">
        <v>1</v>
      </c>
      <c r="C4" s="39" t="str">
        <f>'Diseño'!C4</f>
        <v>786 - Sistemas Organizacionales y Gerenciales 1</v>
      </c>
      <c r="D4" s="21"/>
      <c r="E4" s="21"/>
      <c r="F4" s="21"/>
      <c r="G4" s="22"/>
    </row>
    <row r="5" ht="15.75" customHeight="1">
      <c r="B5" s="23" t="s">
        <v>11</v>
      </c>
      <c r="C5" s="32">
        <v>9.0</v>
      </c>
      <c r="D5" s="21"/>
      <c r="E5" s="21"/>
      <c r="F5" s="21"/>
      <c r="G5" s="22"/>
    </row>
    <row r="6" ht="15.75" customHeight="1">
      <c r="B6" s="40" t="s">
        <v>122</v>
      </c>
      <c r="C6" s="20">
        <f>H10+H21+H44+H68</f>
        <v>105</v>
      </c>
      <c r="D6" s="21"/>
      <c r="E6" s="21"/>
      <c r="F6" s="21"/>
      <c r="G6" s="22"/>
      <c r="I6" s="5"/>
    </row>
    <row r="7" ht="15.75" customHeight="1">
      <c r="B7" s="40" t="s">
        <v>170</v>
      </c>
      <c r="C7" s="20">
        <f>B49+B60</f>
        <v>0</v>
      </c>
      <c r="D7" s="21"/>
      <c r="E7" s="21"/>
      <c r="F7" s="21"/>
      <c r="G7" s="22"/>
    </row>
    <row r="8" ht="15.75" customHeight="1">
      <c r="B8" s="40" t="s">
        <v>171</v>
      </c>
      <c r="C8" s="41"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2" t="s">
        <v>172</v>
      </c>
      <c r="G10" s="35" t="s">
        <v>125</v>
      </c>
      <c r="H10" s="43">
        <f>B13</f>
        <v>5</v>
      </c>
    </row>
    <row r="11" ht="15.75" customHeight="1">
      <c r="G11" s="28" t="s">
        <v>173</v>
      </c>
    </row>
    <row r="12" ht="15.75" customHeight="1">
      <c r="A12" s="31" t="s">
        <v>174</v>
      </c>
      <c r="B12" s="32" t="s">
        <v>244</v>
      </c>
      <c r="C12" s="21"/>
      <c r="D12" s="21"/>
      <c r="E12" s="21"/>
      <c r="F12" s="21"/>
      <c r="G12" s="21"/>
      <c r="H12" s="22"/>
    </row>
    <row r="13" ht="15.75" customHeight="1">
      <c r="A13" s="33" t="s">
        <v>125</v>
      </c>
      <c r="B13" s="32">
        <v>5.0</v>
      </c>
      <c r="C13" s="21"/>
      <c r="D13" s="21"/>
      <c r="E13" s="21"/>
      <c r="F13" s="21"/>
      <c r="G13" s="21"/>
      <c r="H13" s="22"/>
    </row>
    <row r="14" ht="15.75" customHeight="1">
      <c r="A14" s="44" t="s">
        <v>176</v>
      </c>
      <c r="B14" s="21"/>
      <c r="C14" s="21"/>
      <c r="D14" s="21"/>
      <c r="E14" s="21"/>
      <c r="F14" s="21"/>
      <c r="G14" s="21"/>
      <c r="H14" s="22"/>
    </row>
    <row r="15" ht="15.75" customHeight="1">
      <c r="A15" s="45" t="s">
        <v>245</v>
      </c>
      <c r="B15" s="46"/>
      <c r="C15" s="46"/>
      <c r="D15" s="46"/>
      <c r="E15" s="46"/>
      <c r="F15" s="46"/>
      <c r="G15" s="46"/>
      <c r="H15" s="47"/>
    </row>
    <row r="16" ht="15.75" customHeight="1">
      <c r="A16" s="48"/>
      <c r="B16" s="49"/>
      <c r="C16" s="49"/>
      <c r="D16" s="49"/>
      <c r="E16" s="49"/>
      <c r="F16" s="49"/>
      <c r="G16" s="49"/>
      <c r="H16" s="50"/>
    </row>
    <row r="17" ht="15.75" customHeight="1">
      <c r="A17" s="44" t="s">
        <v>178</v>
      </c>
      <c r="B17" s="21"/>
      <c r="C17" s="21"/>
      <c r="D17" s="21"/>
      <c r="E17" s="21"/>
      <c r="F17" s="21"/>
      <c r="G17" s="21"/>
      <c r="H17" s="22"/>
    </row>
    <row r="18" ht="15.75" customHeight="1">
      <c r="A18" s="45" t="s">
        <v>246</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180</v>
      </c>
      <c r="G21" s="35" t="s">
        <v>125</v>
      </c>
      <c r="H21" s="51">
        <f>SUM(D39:H42)</f>
        <v>60</v>
      </c>
      <c r="I21" s="5"/>
    </row>
    <row r="22" ht="15.75" customHeight="1">
      <c r="G22" s="28" t="s">
        <v>181</v>
      </c>
    </row>
    <row r="23" ht="15.75" customHeight="1">
      <c r="A23" s="31" t="s">
        <v>182</v>
      </c>
      <c r="B23" s="32" t="s">
        <v>65</v>
      </c>
      <c r="C23" s="21"/>
      <c r="D23" s="21"/>
      <c r="E23" s="21"/>
      <c r="F23" s="21"/>
      <c r="G23" s="21"/>
      <c r="H23" s="22"/>
    </row>
    <row r="24" ht="15.75" customHeight="1">
      <c r="A24" s="31" t="s">
        <v>182</v>
      </c>
      <c r="B24" s="32" t="s">
        <v>31</v>
      </c>
      <c r="C24" s="21"/>
      <c r="D24" s="21"/>
      <c r="E24" s="21"/>
      <c r="F24" s="21"/>
      <c r="G24" s="21"/>
      <c r="H24" s="22"/>
    </row>
    <row r="25" ht="15.75" customHeight="1"/>
    <row r="26" ht="15.75" customHeight="1">
      <c r="A26" s="52" t="s">
        <v>183</v>
      </c>
      <c r="B26" s="5"/>
      <c r="C26" s="5"/>
      <c r="D26" s="5"/>
    </row>
    <row r="27" ht="15.75" customHeight="1">
      <c r="A27" s="53" t="s">
        <v>5</v>
      </c>
      <c r="B27" s="54" t="s">
        <v>184</v>
      </c>
      <c r="C27" s="22"/>
      <c r="D27" s="54" t="s">
        <v>185</v>
      </c>
      <c r="E27" s="22"/>
      <c r="F27" s="54" t="s">
        <v>186</v>
      </c>
      <c r="G27" s="21"/>
      <c r="H27" s="22"/>
    </row>
    <row r="28" ht="15.75" customHeight="1">
      <c r="A28" s="23">
        <v>1.0</v>
      </c>
      <c r="B28" s="20">
        <f>IFERROR(__xludf.DUMMYFUNCTION("FILTER('Diseño'!D:D,'Diseño'!H:H=$C$5)"),2.0)</f>
        <v>2</v>
      </c>
      <c r="C28" s="22"/>
      <c r="D28" s="20" t="str">
        <f>IFERROR(__xludf.DUMMYFUNCTION("FILTER('Diseño'!E:E,'Diseño'!H:H=$C$5)"),"Problemas éticos y sociales en sistemas")</f>
        <v>Problemas éticos y sociales en sistemas</v>
      </c>
      <c r="E28" s="22"/>
      <c r="F28" s="20" t="str">
        <f>IFERROR(__xludf.DUMMYFUNCTION("FILTER('Diseño'!F:F,'Diseño'!H:H=$C$5)"),"Ejemplos de problemas éticos")</f>
        <v>Ejemplos de problemas éticos</v>
      </c>
      <c r="G28" s="21"/>
      <c r="H28" s="22"/>
    </row>
    <row r="29" ht="15.75" customHeight="1">
      <c r="A29" s="23">
        <v>2.0</v>
      </c>
      <c r="B29" s="20">
        <f>IFERROR(__xludf.DUMMYFUNCTION("""COMPUTED_VALUE"""),2.0)</f>
        <v>2</v>
      </c>
      <c r="C29" s="22"/>
      <c r="D29" s="20" t="str">
        <f>IFERROR(__xludf.DUMMYFUNCTION("""COMPUTED_VALUE"""),"Problemas éticos y sociales en sistemas")</f>
        <v>Problemas éticos y sociales en sistemas</v>
      </c>
      <c r="E29" s="22"/>
      <c r="F29" s="20" t="str">
        <f>IFERROR(__xludf.DUMMYFUNCTION("""COMPUTED_VALUE"""),"Impacto social de las TIC")</f>
        <v>Impacto social de las TIC</v>
      </c>
      <c r="G29" s="21"/>
      <c r="H29" s="22"/>
    </row>
    <row r="30" ht="15.75" customHeight="1">
      <c r="A30" s="23">
        <v>3.0</v>
      </c>
      <c r="B30" s="20">
        <f>IFERROR(__xludf.DUMMYFUNCTION("""COMPUTED_VALUE"""),2.0)</f>
        <v>2</v>
      </c>
      <c r="C30" s="22"/>
      <c r="D30" s="20" t="str">
        <f>IFERROR(__xludf.DUMMYFUNCTION("""COMPUTED_VALUE"""),"Problemas éticos y sociales en sistemas")</f>
        <v>Problemas éticos y sociales en sistemas</v>
      </c>
      <c r="E30" s="22"/>
      <c r="F30" s="20" t="str">
        <f>IFERROR(__xludf.DUMMYFUNCTION("""COMPUTED_VALUE"""),"Casos de estudio")</f>
        <v>Casos de estudio</v>
      </c>
      <c r="G30" s="21"/>
      <c r="H30" s="22"/>
    </row>
    <row r="31" ht="15.75" customHeight="1">
      <c r="A31" s="23">
        <v>4.0</v>
      </c>
      <c r="B31" s="20">
        <f>IFERROR(__xludf.DUMMYFUNCTION("""COMPUTED_VALUE"""),2.0)</f>
        <v>2</v>
      </c>
      <c r="C31" s="22"/>
      <c r="D31" s="20" t="str">
        <f>IFERROR(__xludf.DUMMYFUNCTION("""COMPUTED_VALUE"""),"Problemas éticos y sociales en sistemas")</f>
        <v>Problemas éticos y sociales en sistemas</v>
      </c>
      <c r="E31" s="22"/>
      <c r="F31" s="20" t="str">
        <f>IFERROR(__xludf.DUMMYFUNCTION("""COMPUTED_VALUE"""),"Desafíos éticos en la implementación")</f>
        <v>Desafíos éticos en la implementación</v>
      </c>
      <c r="G31" s="21"/>
      <c r="H31" s="22"/>
    </row>
    <row r="32" ht="15.75" customHeight="1">
      <c r="A32" s="23">
        <v>5.0</v>
      </c>
      <c r="B32" s="20">
        <f>IFERROR(__xludf.DUMMYFUNCTION("""COMPUTED_VALUE"""),2.0)</f>
        <v>2</v>
      </c>
      <c r="C32" s="22"/>
      <c r="D32" s="20" t="str">
        <f>IFERROR(__xludf.DUMMYFUNCTION("""COMPUTED_VALUE"""),"Problemas éticos y sociales en sistemas")</f>
        <v>Problemas éticos y sociales en sistemas</v>
      </c>
      <c r="E32" s="22"/>
      <c r="F32" s="20" t="str">
        <f>IFERROR(__xludf.DUMMYFUNCTION("""COMPUTED_VALUE"""),"Futuro de la ética en TIC")</f>
        <v>Futuro de la ética en TIC</v>
      </c>
      <c r="G32" s="21"/>
      <c r="H32" s="22"/>
    </row>
    <row r="33" ht="15.75" customHeight="1">
      <c r="A33" s="23">
        <v>6.0</v>
      </c>
      <c r="B33" s="20">
        <f>IFERROR(__xludf.DUMMYFUNCTION("""COMPUTED_VALUE"""),2.0)</f>
        <v>2</v>
      </c>
      <c r="C33" s="22"/>
      <c r="D33" s="20" t="str">
        <f>IFERROR(__xludf.DUMMYFUNCTION("""COMPUTED_VALUE"""),"Problemas éticos y sociales en sistemas")</f>
        <v>Problemas éticos y sociales en sistemas</v>
      </c>
      <c r="E33" s="22"/>
      <c r="F33" s="20" t="str">
        <f>IFERROR(__xludf.DUMMYFUNCTION("""COMPUTED_VALUE"""),"Conclusiones sobre problemas éticos")</f>
        <v>Conclusiones sobre problemas éticos</v>
      </c>
      <c r="G33" s="21"/>
      <c r="H33" s="22"/>
    </row>
    <row r="34" ht="15.75" customHeight="1">
      <c r="A34" s="23">
        <v>7.0</v>
      </c>
      <c r="B34" s="20">
        <f>IFERROR(__xludf.DUMMYFUNCTION("""COMPUTED_VALUE"""),3.0)</f>
        <v>3</v>
      </c>
      <c r="C34" s="22"/>
      <c r="D34" s="20" t="str">
        <f>IFERROR(__xludf.DUMMYFUNCTION("""COMPUTED_VALUE"""),"Clases de sistemas de información")</f>
        <v>Clases de sistemas de información</v>
      </c>
      <c r="E34" s="22"/>
      <c r="F34" s="20" t="str">
        <f>IFERROR(__xludf.DUMMYFUNCTION("""COMPUTED_VALUE"""),"Sistemas funcionales")</f>
        <v>Sistemas funcionales</v>
      </c>
      <c r="G34" s="21"/>
      <c r="H34" s="22"/>
    </row>
    <row r="35" ht="15.75" customHeight="1">
      <c r="B35" s="55">
        <f>IFERROR(__xludf.DUMMYFUNCTION("""COMPUTED_VALUE"""),3.0)</f>
        <v>3</v>
      </c>
      <c r="D35" s="55" t="str">
        <f>IFERROR(__xludf.DUMMYFUNCTION("""COMPUTED_VALUE"""),"Clases de sistemas de información")</f>
        <v>Clases de sistemas de información</v>
      </c>
      <c r="F35" s="55" t="str">
        <f>IFERROR(__xludf.DUMMYFUNCTION("""COMPUTED_VALUE"""),"ERP")</f>
        <v>ERP</v>
      </c>
    </row>
    <row r="36" ht="15.75" customHeight="1">
      <c r="A36" s="52" t="s">
        <v>187</v>
      </c>
    </row>
    <row r="37" ht="15.75" customHeight="1">
      <c r="A37" s="5"/>
      <c r="B37" s="5"/>
      <c r="C37" s="5"/>
      <c r="D37" s="5"/>
      <c r="E37" s="5"/>
      <c r="F37" s="5"/>
      <c r="G37" s="5"/>
      <c r="H37" s="5"/>
    </row>
    <row r="38" ht="15.75" customHeight="1">
      <c r="A38" s="53" t="s">
        <v>188</v>
      </c>
      <c r="B38" s="53" t="s">
        <v>189</v>
      </c>
      <c r="C38" s="56" t="s">
        <v>190</v>
      </c>
      <c r="D38" s="57" t="s">
        <v>125</v>
      </c>
      <c r="E38" s="21"/>
      <c r="F38" s="21"/>
      <c r="G38" s="21"/>
      <c r="H38" s="22"/>
    </row>
    <row r="39" ht="15.75" customHeight="1">
      <c r="A39" s="23" t="s">
        <v>191</v>
      </c>
      <c r="B39" s="23" t="s">
        <v>192</v>
      </c>
      <c r="C39" s="58" t="s">
        <v>236</v>
      </c>
      <c r="D39" s="32">
        <v>15.0</v>
      </c>
      <c r="E39" s="21"/>
      <c r="F39" s="21"/>
      <c r="G39" s="21"/>
      <c r="H39" s="22"/>
    </row>
    <row r="40" ht="15.75" customHeight="1">
      <c r="A40" s="23" t="s">
        <v>194</v>
      </c>
      <c r="B40" s="23" t="s">
        <v>192</v>
      </c>
      <c r="C40" s="58" t="s">
        <v>236</v>
      </c>
      <c r="D40" s="32">
        <v>15.0</v>
      </c>
      <c r="E40" s="21"/>
      <c r="F40" s="21"/>
      <c r="G40" s="21"/>
      <c r="H40" s="22"/>
    </row>
    <row r="41" ht="15.75" customHeight="1">
      <c r="A41" s="23" t="s">
        <v>196</v>
      </c>
      <c r="B41" s="23" t="s">
        <v>197</v>
      </c>
      <c r="C41" s="58" t="s">
        <v>236</v>
      </c>
      <c r="D41" s="32">
        <v>15.0</v>
      </c>
      <c r="E41" s="21"/>
      <c r="F41" s="21"/>
      <c r="G41" s="21"/>
      <c r="H41" s="22"/>
    </row>
    <row r="42" ht="15.75" customHeight="1">
      <c r="A42" s="23" t="s">
        <v>199</v>
      </c>
      <c r="B42" s="23" t="s">
        <v>192</v>
      </c>
      <c r="C42" s="58" t="s">
        <v>236</v>
      </c>
      <c r="D42" s="32">
        <v>15.0</v>
      </c>
      <c r="E42" s="21"/>
      <c r="F42" s="21"/>
      <c r="G42" s="21"/>
      <c r="H42" s="22"/>
    </row>
    <row r="43" ht="15.75" customHeight="1"/>
    <row r="44" ht="15.75" customHeight="1">
      <c r="A44" s="42" t="s">
        <v>201</v>
      </c>
      <c r="G44" s="35" t="s">
        <v>125</v>
      </c>
      <c r="H44" s="51">
        <f>B50</f>
        <v>30</v>
      </c>
    </row>
    <row r="45" ht="15.75" customHeight="1">
      <c r="G45" s="28" t="s">
        <v>202</v>
      </c>
    </row>
    <row r="46" ht="15.75" customHeight="1">
      <c r="A46" s="28" t="s">
        <v>203</v>
      </c>
    </row>
    <row r="47">
      <c r="A47" s="31" t="s">
        <v>204</v>
      </c>
      <c r="B47" s="32" t="s">
        <v>94</v>
      </c>
      <c r="C47" s="21"/>
      <c r="D47" s="21"/>
      <c r="E47" s="21"/>
      <c r="F47" s="21"/>
      <c r="G47" s="21"/>
      <c r="H47" s="22"/>
    </row>
    <row r="48" ht="15.75" customHeight="1">
      <c r="A48" s="31" t="s">
        <v>205</v>
      </c>
      <c r="B48" s="32" t="s">
        <v>231</v>
      </c>
      <c r="C48" s="21"/>
      <c r="D48" s="21"/>
      <c r="E48" s="21"/>
      <c r="F48" s="21"/>
      <c r="G48" s="21"/>
      <c r="H48" s="22"/>
    </row>
    <row r="49" ht="15.75" customHeight="1">
      <c r="A49" s="31" t="s">
        <v>170</v>
      </c>
      <c r="B49" s="62">
        <v>0.0</v>
      </c>
      <c r="C49" s="21"/>
      <c r="D49" s="21"/>
      <c r="E49" s="21"/>
      <c r="F49" s="21"/>
      <c r="G49" s="21"/>
      <c r="H49" s="22"/>
    </row>
    <row r="50" ht="15.75" customHeight="1">
      <c r="A50" s="31" t="s">
        <v>125</v>
      </c>
      <c r="B50" s="32">
        <v>30.0</v>
      </c>
      <c r="C50" s="21"/>
      <c r="D50" s="21"/>
      <c r="E50" s="21"/>
      <c r="F50" s="21"/>
      <c r="G50" s="21"/>
      <c r="H50" s="22"/>
    </row>
    <row r="51" ht="15.75" customHeight="1">
      <c r="A51" s="59" t="s">
        <v>207</v>
      </c>
      <c r="B51" s="5"/>
      <c r="C51" s="5"/>
      <c r="D51" s="5"/>
      <c r="E51" s="5"/>
      <c r="F51" s="5"/>
      <c r="G51" s="5"/>
      <c r="H51" s="5"/>
    </row>
    <row r="52" ht="15.75" customHeight="1">
      <c r="A52" s="44" t="s">
        <v>208</v>
      </c>
      <c r="B52" s="21"/>
      <c r="C52" s="21"/>
      <c r="D52" s="21"/>
      <c r="E52" s="21"/>
      <c r="F52" s="21"/>
      <c r="G52" s="21"/>
      <c r="H52" s="22"/>
    </row>
    <row r="53" ht="15.75" customHeight="1">
      <c r="A53" s="45" t="s">
        <v>237</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8" t="s">
        <v>210</v>
      </c>
    </row>
    <row r="58">
      <c r="A58" s="31" t="s">
        <v>204</v>
      </c>
      <c r="B58" s="20"/>
      <c r="C58" s="21"/>
      <c r="D58" s="21"/>
      <c r="E58" s="21"/>
      <c r="F58" s="21"/>
      <c r="G58" s="21"/>
      <c r="H58" s="22"/>
    </row>
    <row r="59" ht="15.75" customHeight="1">
      <c r="A59" s="31" t="s">
        <v>205</v>
      </c>
      <c r="B59" s="20"/>
      <c r="C59" s="21"/>
      <c r="D59" s="21"/>
      <c r="E59" s="21"/>
      <c r="F59" s="21"/>
      <c r="G59" s="21"/>
      <c r="H59" s="22"/>
    </row>
    <row r="60" ht="15.75" customHeight="1">
      <c r="A60" s="31" t="s">
        <v>170</v>
      </c>
      <c r="B60" s="62"/>
      <c r="C60" s="21"/>
      <c r="D60" s="21"/>
      <c r="E60" s="21"/>
      <c r="F60" s="21"/>
      <c r="G60" s="21"/>
      <c r="H60" s="22"/>
    </row>
    <row r="61" ht="15.75" customHeight="1">
      <c r="A61" s="31" t="s">
        <v>125</v>
      </c>
      <c r="B61" s="62"/>
      <c r="C61" s="21"/>
      <c r="D61" s="21"/>
      <c r="E61" s="21"/>
      <c r="F61" s="21"/>
      <c r="G61" s="21"/>
      <c r="H61" s="22"/>
    </row>
    <row r="62" ht="15.75" customHeight="1">
      <c r="A62" s="63" t="s">
        <v>211</v>
      </c>
      <c r="B62" s="5"/>
      <c r="C62" s="5"/>
      <c r="D62" s="5"/>
      <c r="E62" s="5"/>
      <c r="F62" s="5"/>
      <c r="G62" s="5"/>
      <c r="H62" s="5"/>
    </row>
    <row r="63" ht="15.75" customHeight="1">
      <c r="A63" s="44" t="s">
        <v>208</v>
      </c>
      <c r="B63" s="21"/>
      <c r="C63" s="21"/>
      <c r="D63" s="21"/>
      <c r="E63" s="21"/>
      <c r="F63" s="21"/>
      <c r="G63" s="21"/>
      <c r="H63" s="22"/>
    </row>
    <row r="64" ht="15.75" customHeight="1">
      <c r="A64" s="64"/>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212</v>
      </c>
      <c r="G68" s="35" t="s">
        <v>125</v>
      </c>
      <c r="H68" s="51">
        <f>B70</f>
        <v>10</v>
      </c>
    </row>
    <row r="69" ht="15.75" customHeight="1">
      <c r="G69" s="28" t="s">
        <v>213</v>
      </c>
    </row>
    <row r="70" ht="15.75" customHeight="1">
      <c r="A70" s="31" t="s">
        <v>125</v>
      </c>
      <c r="B70" s="65">
        <v>10.0</v>
      </c>
      <c r="C70" s="21"/>
      <c r="D70" s="21"/>
      <c r="E70" s="21"/>
      <c r="F70" s="21"/>
      <c r="G70" s="21"/>
      <c r="H70" s="22"/>
    </row>
    <row r="71" ht="15.75" customHeight="1">
      <c r="A71" s="57" t="s">
        <v>214</v>
      </c>
      <c r="B71" s="21"/>
      <c r="C71" s="21"/>
      <c r="D71" s="21"/>
      <c r="E71" s="21"/>
      <c r="F71" s="21"/>
      <c r="G71" s="21"/>
      <c r="H71" s="22"/>
    </row>
    <row r="72" ht="15.75" customHeight="1">
      <c r="A72" s="45" t="s">
        <v>247</v>
      </c>
      <c r="B72" s="46"/>
      <c r="C72" s="46"/>
      <c r="D72" s="46"/>
      <c r="E72" s="46"/>
      <c r="F72" s="46"/>
      <c r="G72" s="46"/>
      <c r="H72" s="47"/>
    </row>
    <row r="73" ht="15.75" customHeight="1">
      <c r="A73" s="48"/>
      <c r="B73" s="49"/>
      <c r="C73" s="49"/>
      <c r="D73" s="49"/>
      <c r="E73" s="49"/>
      <c r="F73" s="49"/>
      <c r="G73" s="49"/>
      <c r="H73" s="50"/>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8" t="s">
        <v>169</v>
      </c>
    </row>
    <row r="3" ht="15.75" customHeight="1"/>
    <row r="4" ht="15.75" customHeight="1">
      <c r="B4" s="19" t="s">
        <v>1</v>
      </c>
      <c r="C4" s="39" t="str">
        <f>'Diseño'!C4</f>
        <v>786 - Sistemas Organizacionales y Gerenciales 1</v>
      </c>
      <c r="D4" s="21"/>
      <c r="E4" s="21"/>
      <c r="F4" s="21"/>
      <c r="G4" s="22"/>
    </row>
    <row r="5" ht="15.75" customHeight="1">
      <c r="B5" s="23" t="s">
        <v>11</v>
      </c>
      <c r="C5" s="32">
        <v>10.0</v>
      </c>
      <c r="D5" s="21"/>
      <c r="E5" s="21"/>
      <c r="F5" s="21"/>
      <c r="G5" s="22"/>
    </row>
    <row r="6" ht="15.75" customHeight="1">
      <c r="B6" s="40" t="s">
        <v>122</v>
      </c>
      <c r="C6" s="20">
        <f>H10+H21+H44+H68</f>
        <v>105</v>
      </c>
      <c r="D6" s="21"/>
      <c r="E6" s="21"/>
      <c r="F6" s="21"/>
      <c r="G6" s="22"/>
      <c r="I6" s="5"/>
    </row>
    <row r="7" ht="15.75" customHeight="1">
      <c r="B7" s="40" t="s">
        <v>170</v>
      </c>
      <c r="C7" s="20">
        <f>B49+B60</f>
        <v>0</v>
      </c>
      <c r="D7" s="21"/>
      <c r="E7" s="21"/>
      <c r="F7" s="21"/>
      <c r="G7" s="22"/>
    </row>
    <row r="8" ht="15.75" customHeight="1">
      <c r="B8" s="40" t="s">
        <v>171</v>
      </c>
      <c r="C8" s="41"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2" t="s">
        <v>172</v>
      </c>
      <c r="G10" s="35" t="s">
        <v>125</v>
      </c>
      <c r="H10" s="43">
        <f>B13</f>
        <v>5</v>
      </c>
    </row>
    <row r="11" ht="15.75" customHeight="1">
      <c r="G11" s="28" t="s">
        <v>173</v>
      </c>
    </row>
    <row r="12" ht="15.75" customHeight="1">
      <c r="A12" s="31" t="s">
        <v>174</v>
      </c>
      <c r="B12" s="32" t="s">
        <v>248</v>
      </c>
      <c r="C12" s="21"/>
      <c r="D12" s="21"/>
      <c r="E12" s="21"/>
      <c r="F12" s="21"/>
      <c r="G12" s="21"/>
      <c r="H12" s="22"/>
    </row>
    <row r="13" ht="15.75" customHeight="1">
      <c r="A13" s="33" t="s">
        <v>125</v>
      </c>
      <c r="B13" s="32">
        <v>5.0</v>
      </c>
      <c r="C13" s="21"/>
      <c r="D13" s="21"/>
      <c r="E13" s="21"/>
      <c r="F13" s="21"/>
      <c r="G13" s="21"/>
      <c r="H13" s="22"/>
    </row>
    <row r="14" ht="15.75" customHeight="1">
      <c r="A14" s="44" t="s">
        <v>176</v>
      </c>
      <c r="B14" s="21"/>
      <c r="C14" s="21"/>
      <c r="D14" s="21"/>
      <c r="E14" s="21"/>
      <c r="F14" s="21"/>
      <c r="G14" s="21"/>
      <c r="H14" s="22"/>
    </row>
    <row r="15" ht="15.75" customHeight="1">
      <c r="A15" s="45" t="s">
        <v>249</v>
      </c>
      <c r="B15" s="46"/>
      <c r="C15" s="46"/>
      <c r="D15" s="46"/>
      <c r="E15" s="46"/>
      <c r="F15" s="46"/>
      <c r="G15" s="46"/>
      <c r="H15" s="47"/>
    </row>
    <row r="16" ht="15.75" customHeight="1">
      <c r="A16" s="48"/>
      <c r="B16" s="49"/>
      <c r="C16" s="49"/>
      <c r="D16" s="49"/>
      <c r="E16" s="49"/>
      <c r="F16" s="49"/>
      <c r="G16" s="49"/>
      <c r="H16" s="50"/>
    </row>
    <row r="17" ht="15.75" customHeight="1">
      <c r="A17" s="44" t="s">
        <v>178</v>
      </c>
      <c r="B17" s="21"/>
      <c r="C17" s="21"/>
      <c r="D17" s="21"/>
      <c r="E17" s="21"/>
      <c r="F17" s="21"/>
      <c r="G17" s="21"/>
      <c r="H17" s="22"/>
    </row>
    <row r="18" ht="15.75" customHeight="1">
      <c r="A18" s="45" t="s">
        <v>250</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180</v>
      </c>
      <c r="G21" s="35" t="s">
        <v>125</v>
      </c>
      <c r="H21" s="51">
        <f>SUM(D39:H42)</f>
        <v>60</v>
      </c>
      <c r="I21" s="5"/>
    </row>
    <row r="22" ht="15.75" customHeight="1">
      <c r="G22" s="28" t="s">
        <v>181</v>
      </c>
    </row>
    <row r="23" ht="15.75" customHeight="1">
      <c r="A23" s="31" t="s">
        <v>182</v>
      </c>
      <c r="B23" s="32" t="s">
        <v>65</v>
      </c>
      <c r="C23" s="21"/>
      <c r="D23" s="21"/>
      <c r="E23" s="21"/>
      <c r="F23" s="21"/>
      <c r="G23" s="21"/>
      <c r="H23" s="22"/>
    </row>
    <row r="24" ht="15.75" customHeight="1">
      <c r="A24" s="31" t="s">
        <v>182</v>
      </c>
      <c r="B24" s="32" t="s">
        <v>55</v>
      </c>
      <c r="C24" s="21"/>
      <c r="D24" s="21"/>
      <c r="E24" s="21"/>
      <c r="F24" s="21"/>
      <c r="G24" s="21"/>
      <c r="H24" s="22"/>
    </row>
    <row r="25" ht="15.75" customHeight="1"/>
    <row r="26" ht="15.75" customHeight="1">
      <c r="A26" s="52" t="s">
        <v>183</v>
      </c>
      <c r="B26" s="5"/>
      <c r="C26" s="5"/>
      <c r="D26" s="5"/>
    </row>
    <row r="27" ht="15.75" customHeight="1">
      <c r="A27" s="53" t="s">
        <v>5</v>
      </c>
      <c r="B27" s="54" t="s">
        <v>184</v>
      </c>
      <c r="C27" s="22"/>
      <c r="D27" s="54" t="s">
        <v>185</v>
      </c>
      <c r="E27" s="22"/>
      <c r="F27" s="54" t="s">
        <v>186</v>
      </c>
      <c r="G27" s="21"/>
      <c r="H27" s="22"/>
    </row>
    <row r="28" ht="15.75" customHeight="1">
      <c r="A28" s="23">
        <v>1.0</v>
      </c>
      <c r="B28" s="20" t="str">
        <f>IFERROR(__xludf.DUMMYFUNCTION("FILTER('Diseño'!D:D,'Diseño'!H:H=$C$5)"),"#REF!")</f>
        <v>#REF!</v>
      </c>
      <c r="C28" s="22"/>
      <c r="D28" s="20" t="str">
        <f>IFERROR(__xludf.DUMMYFUNCTION("FILTER('Diseño'!E:E,'Diseño'!H:H=$C$5)"),"#REF!")</f>
        <v>#REF!</v>
      </c>
      <c r="E28" s="22"/>
      <c r="F28" s="20" t="str">
        <f>IFERROR(__xludf.DUMMYFUNCTION("FILTER('Diseño'!F:F,'Diseño'!H:H=$C$5)"),"SCM")</f>
        <v>SCM</v>
      </c>
      <c r="G28" s="21"/>
      <c r="H28" s="22"/>
    </row>
    <row r="29" ht="15.75" customHeight="1">
      <c r="A29" s="23">
        <v>2.0</v>
      </c>
      <c r="B29" s="20"/>
      <c r="C29" s="22"/>
      <c r="D29" s="20"/>
      <c r="E29" s="22"/>
      <c r="F29" s="20" t="str">
        <f>IFERROR(__xludf.DUMMYFUNCTION("""COMPUTED_VALUE"""),"CRM")</f>
        <v>CRM</v>
      </c>
      <c r="G29" s="21"/>
      <c r="H29" s="22"/>
    </row>
    <row r="30" ht="15.75" customHeight="1">
      <c r="A30" s="23">
        <v>3.0</v>
      </c>
      <c r="B30" s="20"/>
      <c r="C30" s="22"/>
      <c r="D30" s="20"/>
      <c r="E30" s="22"/>
      <c r="F30" s="20" t="str">
        <f>IFERROR(__xludf.DUMMYFUNCTION("""COMPUTED_VALUE"""),"Sistemas distribuidos")</f>
        <v>Sistemas distribuidos</v>
      </c>
      <c r="G30" s="21"/>
      <c r="H30" s="22"/>
    </row>
    <row r="31" ht="15.75" customHeight="1">
      <c r="A31" s="23">
        <v>4.0</v>
      </c>
      <c r="B31" s="20"/>
      <c r="C31" s="22"/>
      <c r="D31" s="20"/>
      <c r="E31" s="22"/>
      <c r="F31" s="20" t="str">
        <f>IFERROR(__xludf.DUMMYFUNCTION("""COMPUTED_VALUE"""),"GIS")</f>
        <v>GIS</v>
      </c>
      <c r="G31" s="21"/>
      <c r="H31" s="22"/>
    </row>
    <row r="32" ht="15.75" customHeight="1">
      <c r="A32" s="23">
        <v>5.0</v>
      </c>
      <c r="B32" s="20"/>
      <c r="C32" s="22"/>
      <c r="D32" s="20"/>
      <c r="E32" s="22"/>
      <c r="F32" s="20" t="str">
        <f>IFERROR(__xludf.DUMMYFUNCTION("""COMPUTED_VALUE"""),"Conclusiones sobre clases de sistemas")</f>
        <v>Conclusiones sobre clases de sistemas</v>
      </c>
      <c r="G32" s="21"/>
      <c r="H32" s="22"/>
    </row>
    <row r="33" ht="15.75" customHeight="1">
      <c r="A33" s="23">
        <v>6.0</v>
      </c>
      <c r="B33" s="20"/>
      <c r="C33" s="22"/>
      <c r="D33" s="20"/>
      <c r="E33" s="22"/>
      <c r="F33" s="20" t="str">
        <f>IFERROR(__xludf.DUMMYFUNCTION("""COMPUTED_VALUE"""),"Definición de integración")</f>
        <v>Definición de integración</v>
      </c>
      <c r="G33" s="21"/>
      <c r="H33" s="22"/>
    </row>
    <row r="34" ht="15.75" customHeight="1">
      <c r="A34" s="23">
        <v>7.0</v>
      </c>
      <c r="B34" s="20"/>
      <c r="C34" s="22"/>
      <c r="D34" s="20"/>
      <c r="E34" s="22"/>
      <c r="F34" s="20" t="str">
        <f>IFERROR(__xludf.DUMMYFUNCTION("""COMPUTED_VALUE"""),"Beneficios de la integración")</f>
        <v>Beneficios de la integración</v>
      </c>
      <c r="G34" s="21"/>
      <c r="H34" s="22"/>
    </row>
    <row r="35" ht="15.75" customHeight="1">
      <c r="B35" s="55"/>
      <c r="D35" s="55"/>
      <c r="F35" s="55" t="str">
        <f>IFERROR(__xludf.DUMMYFUNCTION("""COMPUTED_VALUE"""),"Ejemplos de integración")</f>
        <v>Ejemplos de integración</v>
      </c>
    </row>
    <row r="36" ht="15.75" customHeight="1">
      <c r="A36" s="52" t="s">
        <v>187</v>
      </c>
      <c r="B36" s="55"/>
      <c r="D36" s="55"/>
      <c r="F36" s="55" t="str">
        <f>IFERROR(__xludf.DUMMYFUNCTION("""COMPUTED_VALUE"""),"Herramientas de integración")</f>
        <v>Herramientas de integración</v>
      </c>
    </row>
    <row r="37" ht="15.75" customHeight="1">
      <c r="A37" s="5"/>
      <c r="B37" s="5"/>
      <c r="C37" s="5"/>
      <c r="D37" s="5"/>
      <c r="E37" s="5"/>
      <c r="F37" s="5" t="str">
        <f>IFERROR(__xludf.DUMMYFUNCTION("""COMPUTED_VALUE"""),"Desafíos en la integración")</f>
        <v>Desafíos en la integración</v>
      </c>
      <c r="G37" s="5"/>
      <c r="H37" s="5"/>
    </row>
    <row r="38" ht="15.75" customHeight="1">
      <c r="A38" s="53" t="s">
        <v>188</v>
      </c>
      <c r="B38" s="53" t="s">
        <v>189</v>
      </c>
      <c r="C38" s="56" t="s">
        <v>190</v>
      </c>
      <c r="D38" s="57" t="s">
        <v>125</v>
      </c>
      <c r="E38" s="21"/>
      <c r="F38" s="21"/>
      <c r="G38" s="21"/>
      <c r="H38" s="22"/>
    </row>
    <row r="39" ht="15.75" customHeight="1">
      <c r="A39" s="23" t="s">
        <v>191</v>
      </c>
      <c r="B39" s="23" t="s">
        <v>192</v>
      </c>
      <c r="C39" s="58" t="s">
        <v>236</v>
      </c>
      <c r="D39" s="32">
        <v>15.0</v>
      </c>
      <c r="E39" s="21"/>
      <c r="F39" s="21"/>
      <c r="G39" s="21"/>
      <c r="H39" s="22"/>
    </row>
    <row r="40" ht="15.75" customHeight="1">
      <c r="A40" s="23" t="s">
        <v>194</v>
      </c>
      <c r="B40" s="23" t="s">
        <v>192</v>
      </c>
      <c r="C40" s="58" t="s">
        <v>236</v>
      </c>
      <c r="D40" s="32">
        <v>15.0</v>
      </c>
      <c r="E40" s="21"/>
      <c r="F40" s="21"/>
      <c r="G40" s="21"/>
      <c r="H40" s="22"/>
    </row>
    <row r="41" ht="15.75" customHeight="1">
      <c r="A41" s="23" t="s">
        <v>196</v>
      </c>
      <c r="B41" s="23" t="s">
        <v>197</v>
      </c>
      <c r="C41" s="58" t="s">
        <v>236</v>
      </c>
      <c r="D41" s="32">
        <v>15.0</v>
      </c>
      <c r="E41" s="21"/>
      <c r="F41" s="21"/>
      <c r="G41" s="21"/>
      <c r="H41" s="22"/>
    </row>
    <row r="42" ht="15.75" customHeight="1">
      <c r="A42" s="23" t="s">
        <v>199</v>
      </c>
      <c r="B42" s="23" t="s">
        <v>192</v>
      </c>
      <c r="C42" s="58" t="s">
        <v>236</v>
      </c>
      <c r="D42" s="32">
        <v>15.0</v>
      </c>
      <c r="E42" s="21"/>
      <c r="F42" s="21"/>
      <c r="G42" s="21"/>
      <c r="H42" s="22"/>
    </row>
    <row r="43" ht="15.75" customHeight="1"/>
    <row r="44" ht="15.75" customHeight="1">
      <c r="A44" s="42" t="s">
        <v>201</v>
      </c>
      <c r="G44" s="35" t="s">
        <v>125</v>
      </c>
      <c r="H44" s="51">
        <f>B50</f>
        <v>30</v>
      </c>
    </row>
    <row r="45" ht="15.75" customHeight="1">
      <c r="G45" s="28" t="s">
        <v>202</v>
      </c>
    </row>
    <row r="46" ht="15.75" customHeight="1">
      <c r="A46" s="28" t="s">
        <v>203</v>
      </c>
    </row>
    <row r="47">
      <c r="A47" s="31" t="s">
        <v>204</v>
      </c>
      <c r="B47" s="32" t="s">
        <v>65</v>
      </c>
      <c r="C47" s="21"/>
      <c r="D47" s="21"/>
      <c r="E47" s="21"/>
      <c r="F47" s="21"/>
      <c r="G47" s="21"/>
      <c r="H47" s="22"/>
    </row>
    <row r="48" ht="15.75" customHeight="1">
      <c r="A48" s="31" t="s">
        <v>205</v>
      </c>
      <c r="B48" s="32" t="s">
        <v>231</v>
      </c>
      <c r="C48" s="21"/>
      <c r="D48" s="21"/>
      <c r="E48" s="21"/>
      <c r="F48" s="21"/>
      <c r="G48" s="21"/>
      <c r="H48" s="22"/>
    </row>
    <row r="49" ht="15.75" customHeight="1">
      <c r="A49" s="31" t="s">
        <v>170</v>
      </c>
      <c r="B49" s="62">
        <v>0.0</v>
      </c>
      <c r="C49" s="21"/>
      <c r="D49" s="21"/>
      <c r="E49" s="21"/>
      <c r="F49" s="21"/>
      <c r="G49" s="21"/>
      <c r="H49" s="22"/>
    </row>
    <row r="50" ht="15.75" customHeight="1">
      <c r="A50" s="31" t="s">
        <v>125</v>
      </c>
      <c r="B50" s="32">
        <v>30.0</v>
      </c>
      <c r="C50" s="21"/>
      <c r="D50" s="21"/>
      <c r="E50" s="21"/>
      <c r="F50" s="21"/>
      <c r="G50" s="21"/>
      <c r="H50" s="22"/>
    </row>
    <row r="51" ht="15.75" customHeight="1">
      <c r="A51" s="59" t="s">
        <v>207</v>
      </c>
      <c r="B51" s="5"/>
      <c r="C51" s="5"/>
      <c r="D51" s="5"/>
      <c r="E51" s="5"/>
      <c r="F51" s="5"/>
      <c r="G51" s="5"/>
      <c r="H51" s="5"/>
    </row>
    <row r="52" ht="15.75" customHeight="1">
      <c r="A52" s="44" t="s">
        <v>208</v>
      </c>
      <c r="B52" s="21"/>
      <c r="C52" s="21"/>
      <c r="D52" s="21"/>
      <c r="E52" s="21"/>
      <c r="F52" s="21"/>
      <c r="G52" s="21"/>
      <c r="H52" s="22"/>
    </row>
    <row r="53" ht="15.75" customHeight="1">
      <c r="A53" s="45" t="s">
        <v>237</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8" t="s">
        <v>210</v>
      </c>
    </row>
    <row r="58">
      <c r="A58" s="31" t="s">
        <v>204</v>
      </c>
      <c r="B58" s="20"/>
      <c r="C58" s="21"/>
      <c r="D58" s="21"/>
      <c r="E58" s="21"/>
      <c r="F58" s="21"/>
      <c r="G58" s="21"/>
      <c r="H58" s="22"/>
    </row>
    <row r="59" ht="15.75" customHeight="1">
      <c r="A59" s="31" t="s">
        <v>205</v>
      </c>
      <c r="B59" s="20"/>
      <c r="C59" s="21"/>
      <c r="D59" s="21"/>
      <c r="E59" s="21"/>
      <c r="F59" s="21"/>
      <c r="G59" s="21"/>
      <c r="H59" s="22"/>
    </row>
    <row r="60" ht="15.75" customHeight="1">
      <c r="A60" s="31" t="s">
        <v>170</v>
      </c>
      <c r="B60" s="62"/>
      <c r="C60" s="21"/>
      <c r="D60" s="21"/>
      <c r="E60" s="21"/>
      <c r="F60" s="21"/>
      <c r="G60" s="21"/>
      <c r="H60" s="22"/>
    </row>
    <row r="61" ht="15.75" customHeight="1">
      <c r="A61" s="31" t="s">
        <v>125</v>
      </c>
      <c r="B61" s="62"/>
      <c r="C61" s="21"/>
      <c r="D61" s="21"/>
      <c r="E61" s="21"/>
      <c r="F61" s="21"/>
      <c r="G61" s="21"/>
      <c r="H61" s="22"/>
    </row>
    <row r="62" ht="15.75" customHeight="1">
      <c r="A62" s="63" t="s">
        <v>211</v>
      </c>
      <c r="B62" s="5"/>
      <c r="C62" s="5"/>
      <c r="D62" s="5"/>
      <c r="E62" s="5"/>
      <c r="F62" s="5"/>
      <c r="G62" s="5"/>
      <c r="H62" s="5"/>
    </row>
    <row r="63" ht="15.75" customHeight="1">
      <c r="A63" s="44" t="s">
        <v>208</v>
      </c>
      <c r="B63" s="21"/>
      <c r="C63" s="21"/>
      <c r="D63" s="21"/>
      <c r="E63" s="21"/>
      <c r="F63" s="21"/>
      <c r="G63" s="21"/>
      <c r="H63" s="22"/>
    </row>
    <row r="64" ht="15.75" customHeight="1">
      <c r="A64" s="64"/>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212</v>
      </c>
      <c r="G68" s="35" t="s">
        <v>125</v>
      </c>
      <c r="H68" s="51">
        <f>B70</f>
        <v>10</v>
      </c>
    </row>
    <row r="69" ht="15.75" customHeight="1">
      <c r="G69" s="28" t="s">
        <v>213</v>
      </c>
    </row>
    <row r="70" ht="15.75" customHeight="1">
      <c r="A70" s="31" t="s">
        <v>125</v>
      </c>
      <c r="B70" s="65">
        <v>10.0</v>
      </c>
      <c r="C70" s="21"/>
      <c r="D70" s="21"/>
      <c r="E70" s="21"/>
      <c r="F70" s="21"/>
      <c r="G70" s="21"/>
      <c r="H70" s="22"/>
    </row>
    <row r="71" ht="15.75" customHeight="1">
      <c r="A71" s="57" t="s">
        <v>214</v>
      </c>
      <c r="B71" s="21"/>
      <c r="C71" s="21"/>
      <c r="D71" s="21"/>
      <c r="E71" s="21"/>
      <c r="F71" s="21"/>
      <c r="G71" s="21"/>
      <c r="H71" s="22"/>
    </row>
    <row r="72" ht="15.75" customHeight="1">
      <c r="A72" s="45" t="s">
        <v>251</v>
      </c>
      <c r="B72" s="46"/>
      <c r="C72" s="46"/>
      <c r="D72" s="46"/>
      <c r="E72" s="46"/>
      <c r="F72" s="46"/>
      <c r="G72" s="46"/>
      <c r="H72" s="47"/>
    </row>
    <row r="73" ht="15.75" customHeight="1">
      <c r="A73" s="48"/>
      <c r="B73" s="49"/>
      <c r="C73" s="49"/>
      <c r="D73" s="49"/>
      <c r="E73" s="49"/>
      <c r="F73" s="49"/>
      <c r="G73" s="49"/>
      <c r="H73" s="50"/>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8" t="s">
        <v>169</v>
      </c>
    </row>
    <row r="3" ht="15.75" customHeight="1"/>
    <row r="4" ht="15.75" customHeight="1">
      <c r="B4" s="19" t="s">
        <v>1</v>
      </c>
      <c r="C4" s="39" t="str">
        <f>'Diseño'!C4</f>
        <v>786 - Sistemas Organizacionales y Gerenciales 1</v>
      </c>
      <c r="D4" s="21"/>
      <c r="E4" s="21"/>
      <c r="F4" s="21"/>
      <c r="G4" s="22"/>
    </row>
    <row r="5" ht="15.75" customHeight="1">
      <c r="B5" s="23" t="s">
        <v>11</v>
      </c>
      <c r="C5" s="32">
        <v>11.0</v>
      </c>
      <c r="D5" s="21"/>
      <c r="E5" s="21"/>
      <c r="F5" s="21"/>
      <c r="G5" s="22"/>
    </row>
    <row r="6" ht="15.75" customHeight="1">
      <c r="B6" s="40" t="s">
        <v>122</v>
      </c>
      <c r="C6" s="20">
        <f>H10+H21+H49+H73</f>
        <v>105</v>
      </c>
      <c r="D6" s="21"/>
      <c r="E6" s="21"/>
      <c r="F6" s="21"/>
      <c r="G6" s="22"/>
      <c r="I6" s="5"/>
    </row>
    <row r="7" ht="15.75" customHeight="1">
      <c r="B7" s="40" t="s">
        <v>170</v>
      </c>
      <c r="C7" s="20">
        <f>B54+B65</f>
        <v>0</v>
      </c>
      <c r="D7" s="21"/>
      <c r="E7" s="21"/>
      <c r="F7" s="21"/>
      <c r="G7" s="22"/>
    </row>
    <row r="8" ht="15.75" customHeight="1">
      <c r="B8" s="40" t="s">
        <v>171</v>
      </c>
      <c r="C8" s="41" t="str">
        <f>IF(H49&lt;=0, "❌ ERROR: La Actividad 1 debe tener un tiempo mayor a 0.", IF(H21&gt;60, "❌ ERROR: El 'Área de Conocimiento' no puede exceder los 60 min.", IF((H10+H21+H49)&lt;100,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172</v>
      </c>
      <c r="G10" s="35" t="s">
        <v>125</v>
      </c>
      <c r="H10" s="43">
        <f>B13</f>
        <v>5</v>
      </c>
    </row>
    <row r="11" ht="15.75" customHeight="1">
      <c r="G11" s="28" t="s">
        <v>173</v>
      </c>
    </row>
    <row r="12" ht="15.75" customHeight="1">
      <c r="A12" s="31" t="s">
        <v>174</v>
      </c>
      <c r="B12" s="32" t="s">
        <v>252</v>
      </c>
      <c r="C12" s="21"/>
      <c r="D12" s="21"/>
      <c r="E12" s="21"/>
      <c r="F12" s="21"/>
      <c r="G12" s="21"/>
      <c r="H12" s="22"/>
    </row>
    <row r="13" ht="15.75" customHeight="1">
      <c r="A13" s="33" t="s">
        <v>125</v>
      </c>
      <c r="B13" s="32">
        <v>5.0</v>
      </c>
      <c r="C13" s="21"/>
      <c r="D13" s="21"/>
      <c r="E13" s="21"/>
      <c r="F13" s="21"/>
      <c r="G13" s="21"/>
      <c r="H13" s="22"/>
    </row>
    <row r="14" ht="15.75" customHeight="1">
      <c r="A14" s="44" t="s">
        <v>176</v>
      </c>
      <c r="B14" s="21"/>
      <c r="C14" s="21"/>
      <c r="D14" s="21"/>
      <c r="E14" s="21"/>
      <c r="F14" s="21"/>
      <c r="G14" s="21"/>
      <c r="H14" s="22"/>
    </row>
    <row r="15" ht="15.75" customHeight="1">
      <c r="A15" s="45" t="s">
        <v>253</v>
      </c>
      <c r="B15" s="46"/>
      <c r="C15" s="46"/>
      <c r="D15" s="46"/>
      <c r="E15" s="46"/>
      <c r="F15" s="46"/>
      <c r="G15" s="46"/>
      <c r="H15" s="47"/>
    </row>
    <row r="16" ht="15.75" customHeight="1">
      <c r="A16" s="48"/>
      <c r="B16" s="49"/>
      <c r="C16" s="49"/>
      <c r="D16" s="49"/>
      <c r="E16" s="49"/>
      <c r="F16" s="49"/>
      <c r="G16" s="49"/>
      <c r="H16" s="50"/>
    </row>
    <row r="17" ht="15.75" customHeight="1">
      <c r="A17" s="44" t="s">
        <v>178</v>
      </c>
      <c r="B17" s="21"/>
      <c r="C17" s="21"/>
      <c r="D17" s="21"/>
      <c r="E17" s="21"/>
      <c r="F17" s="21"/>
      <c r="G17" s="21"/>
      <c r="H17" s="22"/>
    </row>
    <row r="18" ht="15.75" customHeight="1">
      <c r="A18" s="45" t="s">
        <v>254</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180</v>
      </c>
      <c r="G21" s="35" t="s">
        <v>125</v>
      </c>
      <c r="H21" s="51">
        <f>SUM(D44:H47)</f>
        <v>60</v>
      </c>
      <c r="I21" s="5"/>
    </row>
    <row r="22" ht="15.75" customHeight="1">
      <c r="G22" s="28" t="s">
        <v>181</v>
      </c>
    </row>
    <row r="23" ht="15.75" customHeight="1">
      <c r="A23" s="31" t="s">
        <v>182</v>
      </c>
      <c r="B23" s="32" t="s">
        <v>55</v>
      </c>
      <c r="C23" s="21"/>
      <c r="D23" s="21"/>
      <c r="E23" s="21"/>
      <c r="F23" s="21"/>
      <c r="G23" s="21"/>
      <c r="H23" s="22"/>
    </row>
    <row r="24" ht="15.75" customHeight="1">
      <c r="A24" s="31" t="s">
        <v>182</v>
      </c>
      <c r="B24" s="32" t="s">
        <v>22</v>
      </c>
      <c r="C24" s="21"/>
      <c r="D24" s="21"/>
      <c r="E24" s="21"/>
      <c r="F24" s="21"/>
      <c r="G24" s="21"/>
      <c r="H24" s="22"/>
    </row>
    <row r="25" ht="15.75" customHeight="1"/>
    <row r="26" ht="15.75" customHeight="1">
      <c r="A26" s="52" t="s">
        <v>183</v>
      </c>
      <c r="B26" s="5"/>
      <c r="C26" s="5"/>
      <c r="D26" s="5"/>
    </row>
    <row r="27" ht="15.75" customHeight="1">
      <c r="A27" s="53" t="s">
        <v>5</v>
      </c>
      <c r="B27" s="54" t="s">
        <v>184</v>
      </c>
      <c r="C27" s="22"/>
      <c r="D27" s="54" t="s">
        <v>185</v>
      </c>
      <c r="E27" s="22"/>
      <c r="F27" s="54" t="s">
        <v>186</v>
      </c>
      <c r="G27" s="21"/>
      <c r="H27" s="22"/>
    </row>
    <row r="28" ht="15.75" customHeight="1">
      <c r="A28" s="23">
        <v>1.0</v>
      </c>
      <c r="B28" s="20">
        <f>IFERROR(__xludf.DUMMYFUNCTION("FILTER('Diseño'!D:D,'Diseño'!H:H=$C$5)"),3.0)</f>
        <v>3</v>
      </c>
      <c r="C28" s="22"/>
      <c r="D28" s="20" t="str">
        <f>IFERROR(__xludf.DUMMYFUNCTION("FILTER('Diseño'!E:E,'Diseño'!H:H=$C$5)"),"Arquitectura de sistemas")</f>
        <v>Arquitectura de sistemas</v>
      </c>
      <c r="E28" s="22"/>
      <c r="F28" s="20" t="str">
        <f>IFERROR(__xludf.DUMMYFUNCTION("FILTER('Diseño'!F:F,'Diseño'!H:H=$C$5)"),"Ejemplos de arquitecturas")</f>
        <v>Ejemplos de arquitecturas</v>
      </c>
      <c r="G28" s="21"/>
      <c r="H28" s="22"/>
    </row>
    <row r="29" ht="15.75" customHeight="1">
      <c r="A29" s="23">
        <v>2.0</v>
      </c>
      <c r="B29" s="20">
        <f>IFERROR(__xludf.DUMMYFUNCTION("""COMPUTED_VALUE"""),3.0)</f>
        <v>3</v>
      </c>
      <c r="C29" s="22"/>
      <c r="D29" s="20" t="str">
        <f>IFERROR(__xludf.DUMMYFUNCTION("""COMPUTED_VALUE"""),"Arquitectura de sistemas")</f>
        <v>Arquitectura de sistemas</v>
      </c>
      <c r="E29" s="22"/>
      <c r="F29" s="20" t="str">
        <f>IFERROR(__xludf.DUMMYFUNCTION("""COMPUTED_VALUE"""),"Herramientas para arquitecturas")</f>
        <v>Herramientas para arquitecturas</v>
      </c>
      <c r="G29" s="21"/>
      <c r="H29" s="22"/>
    </row>
    <row r="30" ht="15.75" customHeight="1">
      <c r="A30" s="23">
        <v>3.0</v>
      </c>
      <c r="B30" s="20">
        <f>IFERROR(__xludf.DUMMYFUNCTION("""COMPUTED_VALUE"""),3.0)</f>
        <v>3</v>
      </c>
      <c r="C30" s="22"/>
      <c r="D30" s="20" t="str">
        <f>IFERROR(__xludf.DUMMYFUNCTION("""COMPUTED_VALUE"""),"Arquitectura de sistemas")</f>
        <v>Arquitectura de sistemas</v>
      </c>
      <c r="E30" s="22"/>
      <c r="F30" s="20" t="str">
        <f>IFERROR(__xludf.DUMMYFUNCTION("""COMPUTED_VALUE"""),"Impacto en la organización")</f>
        <v>Impacto en la organización</v>
      </c>
      <c r="G30" s="21"/>
      <c r="H30" s="22"/>
    </row>
    <row r="31" ht="15.75" customHeight="1">
      <c r="A31" s="23">
        <v>4.0</v>
      </c>
      <c r="B31" s="20">
        <f>IFERROR(__xludf.DUMMYFUNCTION("""COMPUTED_VALUE"""),3.0)</f>
        <v>3</v>
      </c>
      <c r="C31" s="22"/>
      <c r="D31" s="20" t="str">
        <f>IFERROR(__xludf.DUMMYFUNCTION("""COMPUTED_VALUE"""),"Arquitectura de sistemas")</f>
        <v>Arquitectura de sistemas</v>
      </c>
      <c r="E31" s="22"/>
      <c r="F31" s="20" t="str">
        <f>IFERROR(__xludf.DUMMYFUNCTION("""COMPUTED_VALUE"""),"Futuro de la arquitectura de sistemas")</f>
        <v>Futuro de la arquitectura de sistemas</v>
      </c>
      <c r="G31" s="21"/>
      <c r="H31" s="22"/>
    </row>
    <row r="32" ht="15.75" customHeight="1">
      <c r="A32" s="23">
        <v>5.0</v>
      </c>
      <c r="B32" s="20">
        <f>IFERROR(__xludf.DUMMYFUNCTION("""COMPUTED_VALUE"""),3.0)</f>
        <v>3</v>
      </c>
      <c r="C32" s="22"/>
      <c r="D32" s="20" t="str">
        <f>IFERROR(__xludf.DUMMYFUNCTION("""COMPUTED_VALUE"""),"Arquitectura de sistemas")</f>
        <v>Arquitectura de sistemas</v>
      </c>
      <c r="E32" s="22"/>
      <c r="F32" s="20" t="str">
        <f>IFERROR(__xludf.DUMMYFUNCTION("""COMPUTED_VALUE"""),"Conclusiones sobre arquitectura")</f>
        <v>Conclusiones sobre arquitectura</v>
      </c>
      <c r="G32" s="21"/>
      <c r="H32" s="22"/>
    </row>
    <row r="33" ht="15.75" customHeight="1">
      <c r="A33" s="23">
        <v>6.0</v>
      </c>
      <c r="B33" s="20">
        <f>IFERROR(__xludf.DUMMYFUNCTION("""COMPUTED_VALUE"""),4.0)</f>
        <v>4</v>
      </c>
      <c r="C33" s="22"/>
      <c r="D33" s="20" t="str">
        <f>IFERROR(__xludf.DUMMYFUNCTION("""COMPUTED_VALUE"""),"El ciclo de vida de un sistema")</f>
        <v>El ciclo de vida de un sistema</v>
      </c>
      <c r="E33" s="22"/>
      <c r="F33" s="20" t="str">
        <f>IFERROR(__xludf.DUMMYFUNCTION("""COMPUTED_VALUE"""),"Definición del ciclo de vida")</f>
        <v>Definición del ciclo de vida</v>
      </c>
      <c r="G33" s="21"/>
      <c r="H33" s="22"/>
    </row>
    <row r="34" ht="15.75" customHeight="1">
      <c r="A34" s="23">
        <v>7.0</v>
      </c>
      <c r="B34" s="20">
        <f>IFERROR(__xludf.DUMMYFUNCTION("""COMPUTED_VALUE"""),4.0)</f>
        <v>4</v>
      </c>
      <c r="C34" s="22"/>
      <c r="D34" s="20" t="str">
        <f>IFERROR(__xludf.DUMMYFUNCTION("""COMPUTED_VALUE"""),"El ciclo de vida de un sistema")</f>
        <v>El ciclo de vida de un sistema</v>
      </c>
      <c r="E34" s="22"/>
      <c r="F34" s="20" t="str">
        <f>IFERROR(__xludf.DUMMYFUNCTION("""COMPUTED_VALUE"""),"Etapas del ciclo de vida")</f>
        <v>Etapas del ciclo de vida</v>
      </c>
      <c r="G34" s="21"/>
      <c r="H34" s="22"/>
    </row>
    <row r="35" ht="15.75" customHeight="1">
      <c r="A35" s="66"/>
      <c r="B35" s="67">
        <f>IFERROR(__xludf.DUMMYFUNCTION("""COMPUTED_VALUE"""),4.0)</f>
        <v>4</v>
      </c>
      <c r="C35" s="22"/>
      <c r="D35" s="66" t="str">
        <f>IFERROR(__xludf.DUMMYFUNCTION("""COMPUTED_VALUE"""),"El ciclo de vida de un sistema")</f>
        <v>El ciclo de vida de un sistema</v>
      </c>
      <c r="E35" s="66"/>
      <c r="F35" s="66" t="str">
        <f>IFERROR(__xludf.DUMMYFUNCTION("""COMPUTED_VALUE"""),"Herramientas para el ciclo de vida")</f>
        <v>Herramientas para el ciclo de vida</v>
      </c>
      <c r="G35" s="66"/>
      <c r="H35" s="66"/>
    </row>
    <row r="36" ht="15.75" customHeight="1">
      <c r="A36" s="66"/>
      <c r="B36" s="67">
        <f>IFERROR(__xludf.DUMMYFUNCTION("""COMPUTED_VALUE"""),4.0)</f>
        <v>4</v>
      </c>
      <c r="C36" s="22"/>
      <c r="D36" s="66" t="str">
        <f>IFERROR(__xludf.DUMMYFUNCTION("""COMPUTED_VALUE"""),"El ciclo de vida de un sistema")</f>
        <v>El ciclo de vida de un sistema</v>
      </c>
      <c r="E36" s="66"/>
      <c r="F36" s="67" t="str">
        <f>IFERROR(__xludf.DUMMYFUNCTION("""COMPUTED_VALUE"""),"Importancia del ciclo de vida")</f>
        <v>Importancia del ciclo de vida</v>
      </c>
      <c r="G36" s="21"/>
      <c r="H36" s="22"/>
    </row>
    <row r="37" ht="15.75" customHeight="1">
      <c r="A37" s="23"/>
      <c r="B37" s="20">
        <f>IFERROR(__xludf.DUMMYFUNCTION("""COMPUTED_VALUE"""),4.0)</f>
        <v>4</v>
      </c>
      <c r="C37" s="22"/>
      <c r="D37" s="23" t="str">
        <f>IFERROR(__xludf.DUMMYFUNCTION("""COMPUTED_VALUE"""),"El ciclo de vida de un sistema")</f>
        <v>El ciclo de vida de un sistema</v>
      </c>
      <c r="E37" s="23"/>
      <c r="F37" s="20" t="str">
        <f>IFERROR(__xludf.DUMMYFUNCTION("""COMPUTED_VALUE"""),"Ejemplos de aplicación")</f>
        <v>Ejemplos de aplicación</v>
      </c>
      <c r="G37" s="21"/>
      <c r="H37" s="22"/>
    </row>
    <row r="38" ht="15.75" customHeight="1">
      <c r="A38" s="66"/>
      <c r="B38" s="67">
        <f>IFERROR(__xludf.DUMMYFUNCTION("""COMPUTED_VALUE"""),4.0)</f>
        <v>4</v>
      </c>
      <c r="C38" s="22"/>
      <c r="D38" s="66" t="str">
        <f>IFERROR(__xludf.DUMMYFUNCTION("""COMPUTED_VALUE"""),"El ciclo de vida de un sistema")</f>
        <v>El ciclo de vida de un sistema</v>
      </c>
      <c r="E38" s="66"/>
      <c r="F38" s="67" t="str">
        <f>IFERROR(__xludf.DUMMYFUNCTION("""COMPUTED_VALUE"""),"Desafíos en el ciclo de vida")</f>
        <v>Desafíos en el ciclo de vida</v>
      </c>
      <c r="G38" s="21"/>
      <c r="H38" s="22"/>
    </row>
    <row r="39" ht="15.75" customHeight="1">
      <c r="A39" s="66"/>
      <c r="B39" s="67">
        <f>IFERROR(__xludf.DUMMYFUNCTION("""COMPUTED_VALUE"""),4.0)</f>
        <v>4</v>
      </c>
      <c r="C39" s="22"/>
      <c r="D39" s="66" t="str">
        <f>IFERROR(__xludf.DUMMYFUNCTION("""COMPUTED_VALUE"""),"El ciclo de vida de un sistema")</f>
        <v>El ciclo de vida de un sistema</v>
      </c>
      <c r="E39" s="66"/>
      <c r="F39" s="67" t="str">
        <f>IFERROR(__xludf.DUMMYFUNCTION("""COMPUTED_VALUE"""),"Futuro del ciclo de vida")</f>
        <v>Futuro del ciclo de vida</v>
      </c>
      <c r="G39" s="21"/>
      <c r="H39" s="22"/>
    </row>
    <row r="40" ht="15.75" customHeight="1"/>
    <row r="41" ht="15.75" customHeight="1">
      <c r="A41" s="52" t="s">
        <v>187</v>
      </c>
    </row>
    <row r="42" ht="15.75" customHeight="1"/>
    <row r="43" ht="15.75" customHeight="1">
      <c r="A43" s="53" t="s">
        <v>188</v>
      </c>
      <c r="B43" s="53" t="s">
        <v>189</v>
      </c>
      <c r="C43" s="56" t="s">
        <v>190</v>
      </c>
      <c r="D43" s="57" t="s">
        <v>125</v>
      </c>
      <c r="E43" s="21"/>
      <c r="F43" s="21"/>
      <c r="G43" s="21"/>
      <c r="H43" s="22"/>
    </row>
    <row r="44" ht="15.75" customHeight="1">
      <c r="A44" s="23" t="s">
        <v>191</v>
      </c>
      <c r="B44" s="23" t="s">
        <v>192</v>
      </c>
      <c r="C44" s="58" t="s">
        <v>236</v>
      </c>
      <c r="D44" s="32">
        <v>15.0</v>
      </c>
      <c r="E44" s="21"/>
      <c r="F44" s="21"/>
      <c r="G44" s="21"/>
      <c r="H44" s="22"/>
    </row>
    <row r="45" ht="15.75" customHeight="1">
      <c r="A45" s="23" t="s">
        <v>194</v>
      </c>
      <c r="B45" s="23" t="s">
        <v>192</v>
      </c>
      <c r="C45" s="58" t="s">
        <v>236</v>
      </c>
      <c r="D45" s="32">
        <v>15.0</v>
      </c>
      <c r="E45" s="21"/>
      <c r="F45" s="21"/>
      <c r="G45" s="21"/>
      <c r="H45" s="22"/>
    </row>
    <row r="46" ht="15.75" customHeight="1">
      <c r="A46" s="23" t="s">
        <v>196</v>
      </c>
      <c r="B46" s="23" t="s">
        <v>197</v>
      </c>
      <c r="C46" s="58" t="s">
        <v>236</v>
      </c>
      <c r="D46" s="32">
        <v>15.0</v>
      </c>
      <c r="E46" s="21"/>
      <c r="F46" s="21"/>
      <c r="G46" s="21"/>
      <c r="H46" s="22"/>
    </row>
    <row r="47">
      <c r="A47" s="23" t="s">
        <v>199</v>
      </c>
      <c r="B47" s="23" t="s">
        <v>192</v>
      </c>
      <c r="C47" s="58" t="s">
        <v>236</v>
      </c>
      <c r="D47" s="32">
        <v>15.0</v>
      </c>
      <c r="E47" s="21"/>
      <c r="F47" s="21"/>
      <c r="G47" s="21"/>
      <c r="H47" s="22"/>
    </row>
    <row r="48" ht="15.75" customHeight="1"/>
    <row r="49" ht="15.75" customHeight="1">
      <c r="A49" s="42" t="s">
        <v>201</v>
      </c>
      <c r="G49" s="35" t="s">
        <v>125</v>
      </c>
      <c r="H49" s="51">
        <f>B55</f>
        <v>30</v>
      </c>
    </row>
    <row r="50" ht="15.75" customHeight="1">
      <c r="G50" s="28" t="s">
        <v>202</v>
      </c>
    </row>
    <row r="51" ht="15.75" customHeight="1">
      <c r="A51" s="28" t="s">
        <v>203</v>
      </c>
    </row>
    <row r="52" ht="15.75" customHeight="1">
      <c r="A52" s="31" t="s">
        <v>204</v>
      </c>
      <c r="B52" s="32" t="s">
        <v>22</v>
      </c>
      <c r="C52" s="21"/>
      <c r="D52" s="21"/>
      <c r="E52" s="21"/>
      <c r="F52" s="21"/>
      <c r="G52" s="21"/>
      <c r="H52" s="22"/>
    </row>
    <row r="53" ht="15.75" customHeight="1">
      <c r="A53" s="31" t="s">
        <v>205</v>
      </c>
      <c r="B53" s="32" t="s">
        <v>231</v>
      </c>
      <c r="C53" s="21"/>
      <c r="D53" s="21"/>
      <c r="E53" s="21"/>
      <c r="F53" s="21"/>
      <c r="G53" s="21"/>
      <c r="H53" s="22"/>
    </row>
    <row r="54" ht="15.75" customHeight="1">
      <c r="A54" s="31" t="s">
        <v>170</v>
      </c>
      <c r="B54" s="62">
        <v>0.0</v>
      </c>
      <c r="C54" s="21"/>
      <c r="D54" s="21"/>
      <c r="E54" s="21"/>
      <c r="F54" s="21"/>
      <c r="G54" s="21"/>
      <c r="H54" s="22"/>
    </row>
    <row r="55" ht="15.75" customHeight="1">
      <c r="A55" s="31" t="s">
        <v>125</v>
      </c>
      <c r="B55" s="32">
        <v>30.0</v>
      </c>
      <c r="C55" s="21"/>
      <c r="D55" s="21"/>
      <c r="E55" s="21"/>
      <c r="F55" s="21"/>
      <c r="G55" s="21"/>
      <c r="H55" s="22"/>
    </row>
    <row r="56" ht="15.75" customHeight="1">
      <c r="A56" s="59" t="s">
        <v>207</v>
      </c>
      <c r="B56" s="5"/>
      <c r="C56" s="5"/>
      <c r="D56" s="5"/>
      <c r="E56" s="5"/>
      <c r="F56" s="5"/>
      <c r="G56" s="5"/>
      <c r="H56" s="5"/>
    </row>
    <row r="57" ht="15.75" customHeight="1">
      <c r="A57" s="44" t="s">
        <v>208</v>
      </c>
      <c r="B57" s="21"/>
      <c r="C57" s="21"/>
      <c r="D57" s="21"/>
      <c r="E57" s="21"/>
      <c r="F57" s="21"/>
      <c r="G57" s="21"/>
      <c r="H57" s="22"/>
    </row>
    <row r="58">
      <c r="A58" s="64"/>
      <c r="B58" s="46"/>
      <c r="C58" s="46"/>
      <c r="D58" s="46"/>
      <c r="E58" s="46"/>
      <c r="F58" s="46"/>
      <c r="G58" s="46"/>
      <c r="H58" s="47"/>
    </row>
    <row r="59" ht="15.75" customHeight="1">
      <c r="A59" s="60"/>
      <c r="H59" s="61"/>
    </row>
    <row r="60" ht="15.75" customHeight="1">
      <c r="A60" s="48"/>
      <c r="B60" s="49"/>
      <c r="C60" s="49"/>
      <c r="D60" s="49"/>
      <c r="E60" s="49"/>
      <c r="F60" s="49"/>
      <c r="G60" s="49"/>
      <c r="H60" s="50"/>
    </row>
    <row r="61" ht="15.75" customHeight="1"/>
    <row r="62" ht="15.75" customHeight="1">
      <c r="A62" s="28" t="s">
        <v>210</v>
      </c>
    </row>
    <row r="63" ht="15.75" customHeight="1">
      <c r="A63" s="31" t="s">
        <v>204</v>
      </c>
      <c r="B63" s="20"/>
      <c r="C63" s="21"/>
      <c r="D63" s="21"/>
      <c r="E63" s="21"/>
      <c r="F63" s="21"/>
      <c r="G63" s="21"/>
      <c r="H63" s="22"/>
    </row>
    <row r="64" ht="15.75" customHeight="1">
      <c r="A64" s="31" t="s">
        <v>205</v>
      </c>
      <c r="B64" s="20"/>
      <c r="C64" s="21"/>
      <c r="D64" s="21"/>
      <c r="E64" s="21"/>
      <c r="F64" s="21"/>
      <c r="G64" s="21"/>
      <c r="H64" s="22"/>
    </row>
    <row r="65" ht="15.75" customHeight="1">
      <c r="A65" s="31" t="s">
        <v>170</v>
      </c>
      <c r="B65" s="62"/>
      <c r="C65" s="21"/>
      <c r="D65" s="21"/>
      <c r="E65" s="21"/>
      <c r="F65" s="21"/>
      <c r="G65" s="21"/>
      <c r="H65" s="22"/>
    </row>
    <row r="66" ht="15.75" customHeight="1">
      <c r="A66" s="31" t="s">
        <v>125</v>
      </c>
      <c r="B66" s="62"/>
      <c r="C66" s="21"/>
      <c r="D66" s="21"/>
      <c r="E66" s="21"/>
      <c r="F66" s="21"/>
      <c r="G66" s="21"/>
      <c r="H66" s="22"/>
    </row>
    <row r="67" ht="15.75" customHeight="1">
      <c r="A67" s="63" t="s">
        <v>211</v>
      </c>
      <c r="B67" s="5"/>
      <c r="C67" s="5"/>
      <c r="D67" s="5"/>
      <c r="E67" s="5"/>
      <c r="F67" s="5"/>
      <c r="G67" s="5"/>
      <c r="H67" s="5"/>
    </row>
    <row r="68" ht="15.75" customHeight="1">
      <c r="A68" s="44" t="s">
        <v>208</v>
      </c>
      <c r="B68" s="21"/>
      <c r="C68" s="21"/>
      <c r="D68" s="21"/>
      <c r="E68" s="21"/>
      <c r="F68" s="21"/>
      <c r="G68" s="21"/>
      <c r="H68" s="22"/>
    </row>
    <row r="69" ht="15.75" customHeight="1">
      <c r="A69" s="64"/>
      <c r="B69" s="46"/>
      <c r="C69" s="46"/>
      <c r="D69" s="46"/>
      <c r="E69" s="46"/>
      <c r="F69" s="46"/>
      <c r="G69" s="46"/>
      <c r="H69" s="47"/>
    </row>
    <row r="70" ht="15.75" customHeight="1">
      <c r="A70" s="60"/>
      <c r="H70" s="61"/>
    </row>
    <row r="71" ht="15.75" customHeight="1">
      <c r="A71" s="48"/>
      <c r="B71" s="49"/>
      <c r="C71" s="49"/>
      <c r="D71" s="49"/>
      <c r="E71" s="49"/>
      <c r="F71" s="49"/>
      <c r="G71" s="49"/>
      <c r="H71" s="50"/>
    </row>
    <row r="72" ht="15.75" customHeight="1"/>
    <row r="73" ht="15.75" customHeight="1">
      <c r="A73" s="42" t="s">
        <v>212</v>
      </c>
      <c r="G73" s="35" t="s">
        <v>125</v>
      </c>
      <c r="H73" s="51">
        <f>B75</f>
        <v>10</v>
      </c>
    </row>
    <row r="74" ht="15.75" customHeight="1">
      <c r="G74" s="28" t="s">
        <v>213</v>
      </c>
    </row>
    <row r="75" ht="15.75" customHeight="1">
      <c r="A75" s="31" t="s">
        <v>125</v>
      </c>
      <c r="B75" s="65">
        <v>10.0</v>
      </c>
      <c r="C75" s="21"/>
      <c r="D75" s="21"/>
      <c r="E75" s="21"/>
      <c r="F75" s="21"/>
      <c r="G75" s="21"/>
      <c r="H75" s="22"/>
    </row>
    <row r="76" ht="15.75" customHeight="1">
      <c r="A76" s="57" t="s">
        <v>214</v>
      </c>
      <c r="B76" s="21"/>
      <c r="C76" s="21"/>
      <c r="D76" s="21"/>
      <c r="E76" s="21"/>
      <c r="F76" s="21"/>
      <c r="G76" s="21"/>
      <c r="H76" s="22"/>
    </row>
    <row r="77" ht="15.75" customHeight="1">
      <c r="A77" s="45" t="s">
        <v>251</v>
      </c>
      <c r="B77" s="46"/>
      <c r="C77" s="46"/>
      <c r="D77" s="46"/>
      <c r="E77" s="46"/>
      <c r="F77" s="46"/>
      <c r="G77" s="46"/>
      <c r="H77" s="47"/>
    </row>
    <row r="78" ht="15.75" customHeight="1">
      <c r="A78" s="48"/>
      <c r="B78" s="49"/>
      <c r="C78" s="49"/>
      <c r="D78" s="49"/>
      <c r="E78" s="49"/>
      <c r="F78" s="49"/>
      <c r="G78" s="49"/>
      <c r="H78" s="50"/>
    </row>
    <row r="79" ht="15.75" customHeight="1">
      <c r="A79" s="28" t="s">
        <v>216</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0">
    <mergeCell ref="B35:C35"/>
    <mergeCell ref="B36:C36"/>
    <mergeCell ref="F36:H36"/>
    <mergeCell ref="B37:C37"/>
    <mergeCell ref="F37:H37"/>
    <mergeCell ref="B38:C38"/>
    <mergeCell ref="B39:C39"/>
    <mergeCell ref="F38:H38"/>
    <mergeCell ref="F39:H39"/>
    <mergeCell ref="D43:H43"/>
    <mergeCell ref="D44:H44"/>
    <mergeCell ref="D45:H45"/>
    <mergeCell ref="D46:H46"/>
    <mergeCell ref="D47:H47"/>
    <mergeCell ref="A49:F49"/>
    <mergeCell ref="B52:H52"/>
    <mergeCell ref="B53:H53"/>
    <mergeCell ref="B54:H54"/>
    <mergeCell ref="B55:H55"/>
    <mergeCell ref="A57:H57"/>
    <mergeCell ref="A58:H60"/>
    <mergeCell ref="B75:H75"/>
    <mergeCell ref="A76:H76"/>
    <mergeCell ref="A77:H78"/>
    <mergeCell ref="B63:H63"/>
    <mergeCell ref="B64:H64"/>
    <mergeCell ref="B65:H65"/>
    <mergeCell ref="B66:H66"/>
    <mergeCell ref="A68:H68"/>
    <mergeCell ref="A69:H71"/>
    <mergeCell ref="A73:F73"/>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s>
  <dataValidations>
    <dataValidation type="list" allowBlank="1" showErrorMessage="1" sqref="B23:B24 B52 B63">
      <formula1>METADATA!$I$17:$I$40</formula1>
    </dataValidation>
    <dataValidation type="list" allowBlank="1" showErrorMessage="1" sqref="B53">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8" t="s">
        <v>169</v>
      </c>
    </row>
    <row r="3" ht="15.75" customHeight="1"/>
    <row r="4" ht="15.75" customHeight="1">
      <c r="B4" s="19" t="s">
        <v>1</v>
      </c>
      <c r="C4" s="39" t="str">
        <f>'Diseño'!C4</f>
        <v>786 - Sistemas Organizacionales y Gerenciales 1</v>
      </c>
      <c r="D4" s="21"/>
      <c r="E4" s="21"/>
      <c r="F4" s="21"/>
      <c r="G4" s="22"/>
    </row>
    <row r="5" ht="15.75" customHeight="1">
      <c r="B5" s="23" t="s">
        <v>11</v>
      </c>
      <c r="C5" s="32">
        <v>12.0</v>
      </c>
      <c r="D5" s="21"/>
      <c r="E5" s="21"/>
      <c r="F5" s="21"/>
      <c r="G5" s="22"/>
    </row>
    <row r="6" ht="15.75" customHeight="1">
      <c r="B6" s="40" t="s">
        <v>122</v>
      </c>
      <c r="C6" s="20">
        <f>H10+H21+H44+H68</f>
        <v>115</v>
      </c>
      <c r="D6" s="21"/>
      <c r="E6" s="21"/>
      <c r="F6" s="21"/>
      <c r="G6" s="22"/>
      <c r="I6" s="5"/>
    </row>
    <row r="7" ht="15.75" customHeight="1">
      <c r="B7" s="40" t="s">
        <v>170</v>
      </c>
      <c r="C7" s="20">
        <f>B49+B60</f>
        <v>0</v>
      </c>
      <c r="D7" s="21"/>
      <c r="E7" s="21"/>
      <c r="F7" s="21"/>
      <c r="G7" s="22"/>
    </row>
    <row r="8" ht="15.75" customHeight="1">
      <c r="B8" s="40" t="s">
        <v>171</v>
      </c>
      <c r="C8" s="41"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5"/>
      <c r="J8" s="5"/>
      <c r="K8" s="5"/>
    </row>
    <row r="9" ht="15.75" customHeight="1"/>
    <row r="10" ht="15.75" customHeight="1">
      <c r="A10" s="42" t="s">
        <v>172</v>
      </c>
      <c r="G10" s="35" t="s">
        <v>125</v>
      </c>
      <c r="H10" s="43">
        <f>B13</f>
        <v>5</v>
      </c>
    </row>
    <row r="11" ht="15.75" customHeight="1">
      <c r="G11" s="28" t="s">
        <v>173</v>
      </c>
    </row>
    <row r="12" ht="15.75" customHeight="1">
      <c r="A12" s="31" t="s">
        <v>174</v>
      </c>
      <c r="B12" s="32" t="s">
        <v>252</v>
      </c>
      <c r="C12" s="21"/>
      <c r="D12" s="21"/>
      <c r="E12" s="21"/>
      <c r="F12" s="21"/>
      <c r="G12" s="21"/>
      <c r="H12" s="22"/>
    </row>
    <row r="13" ht="15.75" customHeight="1">
      <c r="A13" s="33" t="s">
        <v>125</v>
      </c>
      <c r="B13" s="32">
        <v>5.0</v>
      </c>
      <c r="C13" s="21"/>
      <c r="D13" s="21"/>
      <c r="E13" s="21"/>
      <c r="F13" s="21"/>
      <c r="G13" s="21"/>
      <c r="H13" s="22"/>
    </row>
    <row r="14" ht="15.75" customHeight="1">
      <c r="A14" s="44" t="s">
        <v>176</v>
      </c>
      <c r="B14" s="21"/>
      <c r="C14" s="21"/>
      <c r="D14" s="21"/>
      <c r="E14" s="21"/>
      <c r="F14" s="21"/>
      <c r="G14" s="21"/>
      <c r="H14" s="22"/>
    </row>
    <row r="15" ht="15.75" customHeight="1">
      <c r="A15" s="45" t="s">
        <v>253</v>
      </c>
      <c r="B15" s="46"/>
      <c r="C15" s="46"/>
      <c r="D15" s="46"/>
      <c r="E15" s="46"/>
      <c r="F15" s="46"/>
      <c r="G15" s="46"/>
      <c r="H15" s="47"/>
    </row>
    <row r="16" ht="15.75" customHeight="1">
      <c r="A16" s="48"/>
      <c r="B16" s="49"/>
      <c r="C16" s="49"/>
      <c r="D16" s="49"/>
      <c r="E16" s="49"/>
      <c r="F16" s="49"/>
      <c r="G16" s="49"/>
      <c r="H16" s="50"/>
    </row>
    <row r="17" ht="15.75" customHeight="1">
      <c r="A17" s="44" t="s">
        <v>178</v>
      </c>
      <c r="B17" s="21"/>
      <c r="C17" s="21"/>
      <c r="D17" s="21"/>
      <c r="E17" s="21"/>
      <c r="F17" s="21"/>
      <c r="G17" s="21"/>
      <c r="H17" s="22"/>
    </row>
    <row r="18" ht="15.75" customHeight="1">
      <c r="A18" s="45" t="s">
        <v>254</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180</v>
      </c>
      <c r="G21" s="35" t="s">
        <v>125</v>
      </c>
      <c r="H21" s="51">
        <f>SUM(D39:H42)</f>
        <v>60</v>
      </c>
      <c r="I21" s="5"/>
    </row>
    <row r="22" ht="15.75" customHeight="1">
      <c r="G22" s="28" t="s">
        <v>181</v>
      </c>
    </row>
    <row r="23" ht="15.75" customHeight="1">
      <c r="A23" s="31" t="s">
        <v>182</v>
      </c>
      <c r="B23" s="32" t="s">
        <v>55</v>
      </c>
      <c r="C23" s="21"/>
      <c r="D23" s="21"/>
      <c r="E23" s="21"/>
      <c r="F23" s="21"/>
      <c r="G23" s="21"/>
      <c r="H23" s="22"/>
    </row>
    <row r="24" ht="15.75" customHeight="1">
      <c r="A24" s="31" t="s">
        <v>182</v>
      </c>
      <c r="B24" s="32" t="s">
        <v>22</v>
      </c>
      <c r="C24" s="21"/>
      <c r="D24" s="21"/>
      <c r="E24" s="21"/>
      <c r="F24" s="21"/>
      <c r="G24" s="21"/>
      <c r="H24" s="22"/>
    </row>
    <row r="25" ht="15.75" customHeight="1"/>
    <row r="26" ht="15.75" customHeight="1">
      <c r="A26" s="52" t="s">
        <v>183</v>
      </c>
      <c r="B26" s="5"/>
      <c r="C26" s="5"/>
      <c r="D26" s="5"/>
    </row>
    <row r="27" ht="15.75" customHeight="1">
      <c r="A27" s="53" t="s">
        <v>5</v>
      </c>
      <c r="B27" s="54" t="s">
        <v>184</v>
      </c>
      <c r="C27" s="22"/>
      <c r="D27" s="54" t="s">
        <v>185</v>
      </c>
      <c r="E27" s="22"/>
      <c r="F27" s="54" t="s">
        <v>186</v>
      </c>
      <c r="G27" s="21"/>
      <c r="H27" s="22"/>
    </row>
    <row r="28" ht="15.75" customHeight="1">
      <c r="A28" s="23">
        <v>1.0</v>
      </c>
      <c r="B28" s="20">
        <f>IFERROR(__xludf.DUMMYFUNCTION("FILTER('Diseño'!D:D,'Diseño'!H:H=$C$5)"),4.0)</f>
        <v>4</v>
      </c>
      <c r="C28" s="22"/>
      <c r="D28" s="20" t="str">
        <f>IFERROR(__xludf.DUMMYFUNCTION("FILTER('Diseño'!E:E,'Diseño'!H:H=$C$5)"),"E-learning")</f>
        <v>E-learning</v>
      </c>
      <c r="E28" s="22"/>
      <c r="F28" s="20" t="str">
        <f>IFERROR(__xludf.DUMMYFUNCTION("FILTER('Diseño'!F:F,'Diseño'!H:H=$C$5)"),"Definición de e-learning")</f>
        <v>Definición de e-learning</v>
      </c>
      <c r="G28" s="21"/>
      <c r="H28" s="22"/>
    </row>
    <row r="29" ht="15.75" customHeight="1">
      <c r="A29" s="23">
        <v>2.0</v>
      </c>
      <c r="B29" s="20">
        <f>IFERROR(__xludf.DUMMYFUNCTION("""COMPUTED_VALUE"""),4.0)</f>
        <v>4</v>
      </c>
      <c r="C29" s="22"/>
      <c r="D29" s="20" t="str">
        <f>IFERROR(__xludf.DUMMYFUNCTION("""COMPUTED_VALUE"""),"E-learning")</f>
        <v>E-learning</v>
      </c>
      <c r="E29" s="22"/>
      <c r="F29" s="20" t="str">
        <f>IFERROR(__xludf.DUMMYFUNCTION("""COMPUTED_VALUE"""),"Ventajas del e-learning")</f>
        <v>Ventajas del e-learning</v>
      </c>
      <c r="G29" s="21"/>
      <c r="H29" s="22"/>
    </row>
    <row r="30" ht="15.75" customHeight="1">
      <c r="A30" s="23">
        <v>3.0</v>
      </c>
      <c r="B30" s="20">
        <f>IFERROR(__xludf.DUMMYFUNCTION("""COMPUTED_VALUE"""),4.0)</f>
        <v>4</v>
      </c>
      <c r="C30" s="22"/>
      <c r="D30" s="20" t="str">
        <f>IFERROR(__xludf.DUMMYFUNCTION("""COMPUTED_VALUE"""),"E-learning")</f>
        <v>E-learning</v>
      </c>
      <c r="E30" s="22"/>
      <c r="F30" s="20" t="str">
        <f>IFERROR(__xludf.DUMMYFUNCTION("""COMPUTED_VALUE"""),"Desafíos del e-learning")</f>
        <v>Desafíos del e-learning</v>
      </c>
      <c r="G30" s="21"/>
      <c r="H30" s="22"/>
    </row>
    <row r="31" ht="15.75" customHeight="1">
      <c r="A31" s="23">
        <v>4.0</v>
      </c>
      <c r="B31" s="20">
        <f>IFERROR(__xludf.DUMMYFUNCTION("""COMPUTED_VALUE"""),4.0)</f>
        <v>4</v>
      </c>
      <c r="C31" s="22"/>
      <c r="D31" s="20" t="str">
        <f>IFERROR(__xludf.DUMMYFUNCTION("""COMPUTED_VALUE"""),"E-learning")</f>
        <v>E-learning</v>
      </c>
      <c r="E31" s="22"/>
      <c r="F31" s="20" t="str">
        <f>IFERROR(__xludf.DUMMYFUNCTION("""COMPUTED_VALUE"""),"Herramientas para e-learning")</f>
        <v>Herramientas para e-learning</v>
      </c>
      <c r="G31" s="21"/>
      <c r="H31" s="22"/>
    </row>
    <row r="32" ht="15.75" customHeight="1">
      <c r="A32" s="23">
        <v>5.0</v>
      </c>
      <c r="B32" s="20">
        <f>IFERROR(__xludf.DUMMYFUNCTION("""COMPUTED_VALUE"""),4.0)</f>
        <v>4</v>
      </c>
      <c r="C32" s="22"/>
      <c r="D32" s="20" t="str">
        <f>IFERROR(__xludf.DUMMYFUNCTION("""COMPUTED_VALUE"""),"E-learning")</f>
        <v>E-learning</v>
      </c>
      <c r="E32" s="22"/>
      <c r="F32" s="20" t="str">
        <f>IFERROR(__xludf.DUMMYFUNCTION("""COMPUTED_VALUE"""),"Casos de éxito")</f>
        <v>Casos de éxito</v>
      </c>
      <c r="G32" s="21"/>
      <c r="H32" s="22"/>
    </row>
    <row r="33" ht="15.75" customHeight="1">
      <c r="A33" s="23">
        <v>6.0</v>
      </c>
      <c r="B33" s="20">
        <f>IFERROR(__xludf.DUMMYFUNCTION("""COMPUTED_VALUE"""),4.0)</f>
        <v>4</v>
      </c>
      <c r="C33" s="22"/>
      <c r="D33" s="20" t="str">
        <f>IFERROR(__xludf.DUMMYFUNCTION("""COMPUTED_VALUE"""),"E-learning")</f>
        <v>E-learning</v>
      </c>
      <c r="E33" s="22"/>
      <c r="F33" s="20" t="str">
        <f>IFERROR(__xludf.DUMMYFUNCTION("""COMPUTED_VALUE"""),"Futuro del e-learning")</f>
        <v>Futuro del e-learning</v>
      </c>
      <c r="G33" s="21"/>
      <c r="H33" s="22"/>
    </row>
    <row r="34" ht="15.75" customHeight="1">
      <c r="A34" s="23">
        <v>7.0</v>
      </c>
      <c r="B34" s="20">
        <f>IFERROR(__xludf.DUMMYFUNCTION("""COMPUTED_VALUE"""),4.0)</f>
        <v>4</v>
      </c>
      <c r="C34" s="22"/>
      <c r="D34" s="20" t="str">
        <f>IFERROR(__xludf.DUMMYFUNCTION("""COMPUTED_VALUE"""),"E-learning")</f>
        <v>E-learning</v>
      </c>
      <c r="E34" s="22"/>
      <c r="F34" s="20" t="str">
        <f>IFERROR(__xludf.DUMMYFUNCTION("""COMPUTED_VALUE"""),"Conclusiones sobre e-learning")</f>
        <v>Conclusiones sobre e-learning</v>
      </c>
      <c r="G34" s="21"/>
      <c r="H34" s="22"/>
    </row>
    <row r="35" ht="15.75" customHeight="1">
      <c r="B35" s="55">
        <f>IFERROR(__xludf.DUMMYFUNCTION("""COMPUTED_VALUE"""),5.0)</f>
        <v>5</v>
      </c>
      <c r="D35" s="55" t="str">
        <f>IFERROR(__xludf.DUMMYFUNCTION("""COMPUTED_VALUE"""),"Gamificación en educación")</f>
        <v>Gamificación en educación</v>
      </c>
      <c r="F35" s="55" t="str">
        <f>IFERROR(__xludf.DUMMYFUNCTION("""COMPUTED_VALUE"""),"Definición de plataformas educativas")</f>
        <v>Definición de plataformas educativas</v>
      </c>
    </row>
    <row r="36" ht="15.75" customHeight="1">
      <c r="A36" s="52" t="s">
        <v>187</v>
      </c>
      <c r="B36" s="55">
        <f>IFERROR(__xludf.DUMMYFUNCTION("""COMPUTED_VALUE"""),5.0)</f>
        <v>5</v>
      </c>
      <c r="D36" s="55" t="str">
        <f>IFERROR(__xludf.DUMMYFUNCTION("""COMPUTED_VALUE"""),"Gamificación en educación")</f>
        <v>Gamificación en educación</v>
      </c>
      <c r="F36" s="55" t="str">
        <f>IFERROR(__xludf.DUMMYFUNCTION("""COMPUTED_VALUE"""),"Ejemplos de plataformas educativas")</f>
        <v>Ejemplos de plataformas educativas</v>
      </c>
    </row>
    <row r="37" ht="15.75" customHeight="1">
      <c r="A37" s="5"/>
      <c r="B37" s="5">
        <f>IFERROR(__xludf.DUMMYFUNCTION("""COMPUTED_VALUE"""),5.0)</f>
        <v>5</v>
      </c>
      <c r="C37" s="5"/>
      <c r="D37" s="5" t="str">
        <f>IFERROR(__xludf.DUMMYFUNCTION("""COMPUTED_VALUE"""),"Gamificación en educación")</f>
        <v>Gamificación en educación</v>
      </c>
      <c r="E37" s="5"/>
      <c r="F37" s="5" t="str">
        <f>IFERROR(__xludf.DUMMYFUNCTION("""COMPUTED_VALUE"""),"Ventajas de las plataformas")</f>
        <v>Ventajas de las plataformas</v>
      </c>
      <c r="G37" s="5"/>
      <c r="H37" s="5"/>
    </row>
    <row r="38" ht="15.75" customHeight="1">
      <c r="A38" s="53" t="s">
        <v>188</v>
      </c>
      <c r="B38" s="53" t="s">
        <v>189</v>
      </c>
      <c r="C38" s="56" t="s">
        <v>190</v>
      </c>
      <c r="D38" s="57" t="s">
        <v>125</v>
      </c>
      <c r="E38" s="21"/>
      <c r="F38" s="21"/>
      <c r="G38" s="21"/>
      <c r="H38" s="22"/>
    </row>
    <row r="39" ht="15.75" customHeight="1">
      <c r="A39" s="23" t="s">
        <v>191</v>
      </c>
      <c r="B39" s="23" t="s">
        <v>192</v>
      </c>
      <c r="C39" s="58" t="s">
        <v>236</v>
      </c>
      <c r="D39" s="32">
        <v>15.0</v>
      </c>
      <c r="E39" s="21"/>
      <c r="F39" s="21"/>
      <c r="G39" s="21"/>
      <c r="H39" s="22"/>
    </row>
    <row r="40" ht="15.75" customHeight="1">
      <c r="A40" s="23" t="s">
        <v>194</v>
      </c>
      <c r="B40" s="23" t="s">
        <v>192</v>
      </c>
      <c r="C40" s="58" t="s">
        <v>236</v>
      </c>
      <c r="D40" s="32">
        <v>15.0</v>
      </c>
      <c r="E40" s="21"/>
      <c r="F40" s="21"/>
      <c r="G40" s="21"/>
      <c r="H40" s="22"/>
    </row>
    <row r="41" ht="15.75" customHeight="1">
      <c r="A41" s="23" t="s">
        <v>196</v>
      </c>
      <c r="B41" s="23" t="s">
        <v>197</v>
      </c>
      <c r="C41" s="58" t="s">
        <v>236</v>
      </c>
      <c r="D41" s="32">
        <v>15.0</v>
      </c>
      <c r="E41" s="21"/>
      <c r="F41" s="21"/>
      <c r="G41" s="21"/>
      <c r="H41" s="22"/>
    </row>
    <row r="42" ht="15.75" customHeight="1">
      <c r="A42" s="23" t="s">
        <v>199</v>
      </c>
      <c r="B42" s="23" t="s">
        <v>192</v>
      </c>
      <c r="C42" s="58" t="s">
        <v>236</v>
      </c>
      <c r="D42" s="32">
        <v>15.0</v>
      </c>
      <c r="E42" s="21"/>
      <c r="F42" s="21"/>
      <c r="G42" s="21"/>
      <c r="H42" s="22"/>
    </row>
    <row r="43" ht="15.75" customHeight="1"/>
    <row r="44" ht="15.75" customHeight="1">
      <c r="A44" s="42" t="s">
        <v>201</v>
      </c>
      <c r="G44" s="35" t="s">
        <v>125</v>
      </c>
      <c r="H44" s="51">
        <f>B50</f>
        <v>40</v>
      </c>
    </row>
    <row r="45" ht="15.75" customHeight="1">
      <c r="G45" s="28" t="s">
        <v>202</v>
      </c>
    </row>
    <row r="46" ht="15.75" customHeight="1">
      <c r="A46" s="28" t="s">
        <v>203</v>
      </c>
    </row>
    <row r="47">
      <c r="A47" s="31" t="s">
        <v>204</v>
      </c>
      <c r="B47" s="32" t="s">
        <v>22</v>
      </c>
      <c r="C47" s="21"/>
      <c r="D47" s="21"/>
      <c r="E47" s="21"/>
      <c r="F47" s="21"/>
      <c r="G47" s="21"/>
      <c r="H47" s="22"/>
    </row>
    <row r="48" ht="15.75" customHeight="1">
      <c r="A48" s="31" t="s">
        <v>205</v>
      </c>
      <c r="B48" s="32" t="s">
        <v>231</v>
      </c>
      <c r="C48" s="21"/>
      <c r="D48" s="21"/>
      <c r="E48" s="21"/>
      <c r="F48" s="21"/>
      <c r="G48" s="21"/>
      <c r="H48" s="22"/>
    </row>
    <row r="49" ht="15.75" customHeight="1">
      <c r="A49" s="31" t="s">
        <v>170</v>
      </c>
      <c r="B49" s="62">
        <v>0.0</v>
      </c>
      <c r="C49" s="21"/>
      <c r="D49" s="21"/>
      <c r="E49" s="21"/>
      <c r="F49" s="21"/>
      <c r="G49" s="21"/>
      <c r="H49" s="22"/>
    </row>
    <row r="50" ht="15.75" customHeight="1">
      <c r="A50" s="31" t="s">
        <v>125</v>
      </c>
      <c r="B50" s="32">
        <v>40.0</v>
      </c>
      <c r="C50" s="21"/>
      <c r="D50" s="21"/>
      <c r="E50" s="21"/>
      <c r="F50" s="21"/>
      <c r="G50" s="21"/>
      <c r="H50" s="22"/>
    </row>
    <row r="51" ht="15.75" customHeight="1">
      <c r="A51" s="59" t="s">
        <v>207</v>
      </c>
      <c r="B51" s="5"/>
      <c r="C51" s="5"/>
      <c r="D51" s="5"/>
      <c r="E51" s="5"/>
      <c r="F51" s="5"/>
      <c r="G51" s="5"/>
      <c r="H51" s="5"/>
    </row>
    <row r="52" ht="15.75" customHeight="1">
      <c r="A52" s="44" t="s">
        <v>208</v>
      </c>
      <c r="B52" s="21"/>
      <c r="C52" s="21"/>
      <c r="D52" s="21"/>
      <c r="E52" s="21"/>
      <c r="F52" s="21"/>
      <c r="G52" s="21"/>
      <c r="H52" s="22"/>
    </row>
    <row r="53" ht="15.75" customHeight="1">
      <c r="A53" s="64"/>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8" t="s">
        <v>210</v>
      </c>
    </row>
    <row r="58">
      <c r="A58" s="31" t="s">
        <v>204</v>
      </c>
      <c r="B58" s="20"/>
      <c r="C58" s="21"/>
      <c r="D58" s="21"/>
      <c r="E58" s="21"/>
      <c r="F58" s="21"/>
      <c r="G58" s="21"/>
      <c r="H58" s="22"/>
    </row>
    <row r="59" ht="15.75" customHeight="1">
      <c r="A59" s="31" t="s">
        <v>205</v>
      </c>
      <c r="B59" s="20"/>
      <c r="C59" s="21"/>
      <c r="D59" s="21"/>
      <c r="E59" s="21"/>
      <c r="F59" s="21"/>
      <c r="G59" s="21"/>
      <c r="H59" s="22"/>
    </row>
    <row r="60" ht="15.75" customHeight="1">
      <c r="A60" s="31" t="s">
        <v>170</v>
      </c>
      <c r="B60" s="62"/>
      <c r="C60" s="21"/>
      <c r="D60" s="21"/>
      <c r="E60" s="21"/>
      <c r="F60" s="21"/>
      <c r="G60" s="21"/>
      <c r="H60" s="22"/>
    </row>
    <row r="61" ht="15.75" customHeight="1">
      <c r="A61" s="31" t="s">
        <v>125</v>
      </c>
      <c r="B61" s="62"/>
      <c r="C61" s="21"/>
      <c r="D61" s="21"/>
      <c r="E61" s="21"/>
      <c r="F61" s="21"/>
      <c r="G61" s="21"/>
      <c r="H61" s="22"/>
    </row>
    <row r="62" ht="15.75" customHeight="1">
      <c r="A62" s="63" t="s">
        <v>211</v>
      </c>
      <c r="B62" s="5"/>
      <c r="C62" s="5"/>
      <c r="D62" s="5"/>
      <c r="E62" s="5"/>
      <c r="F62" s="5"/>
      <c r="G62" s="5"/>
      <c r="H62" s="5"/>
    </row>
    <row r="63" ht="15.75" customHeight="1">
      <c r="A63" s="44" t="s">
        <v>208</v>
      </c>
      <c r="B63" s="21"/>
      <c r="C63" s="21"/>
      <c r="D63" s="21"/>
      <c r="E63" s="21"/>
      <c r="F63" s="21"/>
      <c r="G63" s="21"/>
      <c r="H63" s="22"/>
    </row>
    <row r="64" ht="15.75" customHeight="1">
      <c r="A64" s="64"/>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212</v>
      </c>
      <c r="G68" s="35" t="s">
        <v>125</v>
      </c>
      <c r="H68" s="51">
        <f>B70</f>
        <v>10</v>
      </c>
    </row>
    <row r="69" ht="15.75" customHeight="1">
      <c r="G69" s="28" t="s">
        <v>213</v>
      </c>
    </row>
    <row r="70" ht="15.75" customHeight="1">
      <c r="A70" s="31" t="s">
        <v>125</v>
      </c>
      <c r="B70" s="65">
        <v>10.0</v>
      </c>
      <c r="C70" s="21"/>
      <c r="D70" s="21"/>
      <c r="E70" s="21"/>
      <c r="F70" s="21"/>
      <c r="G70" s="21"/>
      <c r="H70" s="22"/>
    </row>
    <row r="71" ht="15.75" customHeight="1">
      <c r="A71" s="57" t="s">
        <v>214</v>
      </c>
      <c r="B71" s="21"/>
      <c r="C71" s="21"/>
      <c r="D71" s="21"/>
      <c r="E71" s="21"/>
      <c r="F71" s="21"/>
      <c r="G71" s="21"/>
      <c r="H71" s="22"/>
    </row>
    <row r="72" ht="15.75" customHeight="1">
      <c r="A72" s="45" t="s">
        <v>251</v>
      </c>
      <c r="B72" s="46"/>
      <c r="C72" s="46"/>
      <c r="D72" s="46"/>
      <c r="E72" s="46"/>
      <c r="F72" s="46"/>
      <c r="G72" s="46"/>
      <c r="H72" s="47"/>
    </row>
    <row r="73" ht="15.75" customHeight="1">
      <c r="A73" s="48"/>
      <c r="B73" s="49"/>
      <c r="C73" s="49"/>
      <c r="D73" s="49"/>
      <c r="E73" s="49"/>
      <c r="F73" s="49"/>
      <c r="G73" s="49"/>
      <c r="H73" s="50"/>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8" t="s">
        <v>255</v>
      </c>
    </row>
    <row r="3" ht="15.75" customHeight="1"/>
    <row r="4" ht="15.75" customHeight="1">
      <c r="B4" s="19" t="s">
        <v>1</v>
      </c>
      <c r="C4" s="20" t="str">
        <f>'Diseño'!C4</f>
        <v>786 - Sistemas Organizacionales y Gerenciales 1</v>
      </c>
      <c r="D4" s="21"/>
      <c r="E4" s="21"/>
      <c r="F4" s="21"/>
      <c r="G4" s="22"/>
    </row>
    <row r="5" ht="15.75" customHeight="1">
      <c r="B5" s="40" t="s">
        <v>122</v>
      </c>
      <c r="C5" s="20">
        <f>H9+H26+H43</f>
        <v>120</v>
      </c>
      <c r="D5" s="21"/>
      <c r="E5" s="21"/>
      <c r="F5" s="21"/>
      <c r="G5" s="22"/>
    </row>
    <row r="6" ht="15.75" customHeight="1">
      <c r="B6" s="40" t="s">
        <v>170</v>
      </c>
      <c r="C6" s="20">
        <f>F9+F26+F43</f>
        <v>60</v>
      </c>
      <c r="D6" s="21"/>
      <c r="E6" s="21"/>
      <c r="F6" s="21"/>
      <c r="G6" s="22"/>
    </row>
    <row r="7" ht="15.75" customHeight="1">
      <c r="B7" s="6" t="s">
        <v>256</v>
      </c>
    </row>
    <row r="8" ht="15.75" customHeight="1"/>
    <row r="9" ht="15.75" customHeight="1">
      <c r="A9" s="42" t="s">
        <v>257</v>
      </c>
      <c r="E9" s="35" t="s">
        <v>170</v>
      </c>
      <c r="F9" s="51">
        <v>20.0</v>
      </c>
      <c r="G9" s="35" t="s">
        <v>258</v>
      </c>
      <c r="H9" s="51">
        <v>40.0</v>
      </c>
    </row>
    <row r="10" ht="15.75" customHeight="1">
      <c r="A10" s="6" t="s">
        <v>192</v>
      </c>
    </row>
    <row r="11" ht="15.75" customHeight="1">
      <c r="A11" s="53" t="s">
        <v>182</v>
      </c>
      <c r="B11" s="32" t="s">
        <v>94</v>
      </c>
      <c r="C11" s="21"/>
      <c r="D11" s="21"/>
      <c r="E11" s="21"/>
      <c r="F11" s="21"/>
      <c r="G11" s="21"/>
      <c r="H11" s="22"/>
    </row>
    <row r="12" ht="15.75" customHeight="1">
      <c r="A12" s="53" t="s">
        <v>182</v>
      </c>
      <c r="B12" s="32" t="s">
        <v>31</v>
      </c>
      <c r="C12" s="21"/>
      <c r="D12" s="21"/>
      <c r="E12" s="21"/>
      <c r="F12" s="21"/>
      <c r="G12" s="21"/>
      <c r="H12" s="22"/>
    </row>
    <row r="13" ht="15.75" customHeight="1">
      <c r="A13" s="53" t="s">
        <v>182</v>
      </c>
      <c r="B13" s="32" t="s">
        <v>67</v>
      </c>
      <c r="C13" s="21"/>
      <c r="D13" s="21"/>
      <c r="E13" s="21"/>
      <c r="F13" s="21"/>
      <c r="G13" s="21"/>
      <c r="H13" s="22"/>
    </row>
    <row r="14" ht="15.75" customHeight="1">
      <c r="A14" s="53" t="s">
        <v>259</v>
      </c>
      <c r="B14" s="32" t="s">
        <v>260</v>
      </c>
      <c r="C14" s="21"/>
      <c r="D14" s="21"/>
      <c r="E14" s="21"/>
      <c r="F14" s="21"/>
      <c r="G14" s="21"/>
      <c r="H14" s="22"/>
    </row>
    <row r="15" ht="15.75" customHeight="1">
      <c r="A15" s="44" t="s">
        <v>261</v>
      </c>
      <c r="B15" s="21"/>
      <c r="C15" s="21"/>
      <c r="D15" s="21"/>
      <c r="E15" s="21"/>
      <c r="F15" s="21"/>
      <c r="G15" s="21"/>
      <c r="H15" s="22"/>
    </row>
    <row r="16" ht="15.75" customHeight="1">
      <c r="A16" s="45" t="s">
        <v>262</v>
      </c>
      <c r="B16" s="46"/>
      <c r="C16" s="46"/>
      <c r="D16" s="46"/>
      <c r="E16" s="46"/>
      <c r="F16" s="46"/>
      <c r="G16" s="46"/>
      <c r="H16" s="47"/>
    </row>
    <row r="17" ht="15.75" customHeight="1">
      <c r="A17" s="60"/>
      <c r="H17" s="61"/>
    </row>
    <row r="18" ht="15.75" customHeight="1">
      <c r="A18" s="48"/>
      <c r="B18" s="49"/>
      <c r="C18" s="49"/>
      <c r="D18" s="49"/>
      <c r="E18" s="49"/>
      <c r="F18" s="49"/>
      <c r="G18" s="49"/>
      <c r="H18" s="50"/>
    </row>
    <row r="19" ht="15.75" customHeight="1">
      <c r="A19" s="44" t="s">
        <v>263</v>
      </c>
      <c r="B19" s="21"/>
      <c r="C19" s="21"/>
      <c r="D19" s="21"/>
      <c r="E19" s="21"/>
      <c r="F19" s="21"/>
      <c r="G19" s="21"/>
      <c r="H19" s="22"/>
    </row>
    <row r="20" ht="15.75" customHeight="1">
      <c r="A20" s="45" t="s">
        <v>264</v>
      </c>
      <c r="B20" s="46"/>
      <c r="C20" s="46"/>
      <c r="D20" s="46"/>
      <c r="E20" s="46"/>
      <c r="F20" s="46"/>
      <c r="G20" s="46"/>
      <c r="H20" s="47"/>
    </row>
    <row r="21" ht="15.75" customHeight="1">
      <c r="A21" s="60"/>
      <c r="H21" s="61"/>
    </row>
    <row r="22" ht="15.75" customHeight="1">
      <c r="A22" s="60"/>
      <c r="H22" s="61"/>
    </row>
    <row r="23" ht="15.75" customHeight="1">
      <c r="A23" s="48"/>
      <c r="B23" s="49"/>
      <c r="C23" s="49"/>
      <c r="D23" s="49"/>
      <c r="E23" s="49"/>
      <c r="F23" s="49"/>
      <c r="G23" s="49"/>
      <c r="H23" s="50"/>
    </row>
    <row r="24" ht="15.75" customHeight="1"/>
    <row r="25" ht="15.75" customHeight="1"/>
    <row r="26" ht="15.75" customHeight="1">
      <c r="A26" s="42" t="s">
        <v>265</v>
      </c>
      <c r="E26" s="35" t="s">
        <v>170</v>
      </c>
      <c r="F26" s="51">
        <v>20.0</v>
      </c>
      <c r="G26" s="35" t="s">
        <v>258</v>
      </c>
      <c r="H26" s="51">
        <v>40.0</v>
      </c>
    </row>
    <row r="27" ht="15.75" customHeight="1">
      <c r="A27" s="6" t="s">
        <v>192</v>
      </c>
    </row>
    <row r="28" ht="15.75" customHeight="1">
      <c r="A28" s="53" t="s">
        <v>182</v>
      </c>
      <c r="B28" s="32" t="s">
        <v>94</v>
      </c>
      <c r="C28" s="21"/>
      <c r="D28" s="21"/>
      <c r="E28" s="21"/>
      <c r="F28" s="21"/>
      <c r="G28" s="21"/>
      <c r="H28" s="22"/>
    </row>
    <row r="29" ht="15.75" customHeight="1">
      <c r="A29" s="53" t="s">
        <v>182</v>
      </c>
      <c r="B29" s="32" t="s">
        <v>31</v>
      </c>
      <c r="C29" s="21"/>
      <c r="D29" s="21"/>
      <c r="E29" s="21"/>
      <c r="F29" s="21"/>
      <c r="G29" s="21"/>
      <c r="H29" s="22"/>
    </row>
    <row r="30" ht="15.75" customHeight="1">
      <c r="A30" s="53" t="s">
        <v>182</v>
      </c>
      <c r="B30" s="32" t="s">
        <v>67</v>
      </c>
      <c r="C30" s="21"/>
      <c r="D30" s="21"/>
      <c r="E30" s="21"/>
      <c r="F30" s="21"/>
      <c r="G30" s="21"/>
      <c r="H30" s="22"/>
    </row>
    <row r="31" ht="15.75" customHeight="1">
      <c r="A31" s="53" t="s">
        <v>259</v>
      </c>
      <c r="B31" s="32" t="s">
        <v>266</v>
      </c>
      <c r="C31" s="21"/>
      <c r="D31" s="21"/>
      <c r="E31" s="21"/>
      <c r="F31" s="21"/>
      <c r="G31" s="21"/>
      <c r="H31" s="22"/>
    </row>
    <row r="32" ht="15.75" customHeight="1">
      <c r="A32" s="44" t="s">
        <v>261</v>
      </c>
      <c r="B32" s="21"/>
      <c r="C32" s="21"/>
      <c r="D32" s="21"/>
      <c r="E32" s="21"/>
      <c r="F32" s="21"/>
      <c r="G32" s="21"/>
      <c r="H32" s="22"/>
    </row>
    <row r="33" ht="15.75" customHeight="1">
      <c r="A33" s="45" t="s">
        <v>262</v>
      </c>
      <c r="B33" s="46"/>
      <c r="C33" s="46"/>
      <c r="D33" s="46"/>
      <c r="E33" s="46"/>
      <c r="F33" s="46"/>
      <c r="G33" s="46"/>
      <c r="H33" s="47"/>
    </row>
    <row r="34" ht="15.75" customHeight="1">
      <c r="A34" s="60"/>
      <c r="H34" s="61"/>
    </row>
    <row r="35" ht="15.75" customHeight="1">
      <c r="A35" s="48"/>
      <c r="B35" s="49"/>
      <c r="C35" s="49"/>
      <c r="D35" s="49"/>
      <c r="E35" s="49"/>
      <c r="F35" s="49"/>
      <c r="G35" s="49"/>
      <c r="H35" s="50"/>
    </row>
    <row r="36" ht="15.75" customHeight="1">
      <c r="A36" s="44" t="s">
        <v>263</v>
      </c>
      <c r="B36" s="21"/>
      <c r="C36" s="21"/>
      <c r="D36" s="21"/>
      <c r="E36" s="21"/>
      <c r="F36" s="21"/>
      <c r="G36" s="21"/>
      <c r="H36" s="22"/>
    </row>
    <row r="37" ht="15.75" customHeight="1">
      <c r="A37" s="45" t="s">
        <v>267</v>
      </c>
      <c r="B37" s="46"/>
      <c r="C37" s="46"/>
      <c r="D37" s="46"/>
      <c r="E37" s="46"/>
      <c r="F37" s="46"/>
      <c r="G37" s="46"/>
      <c r="H37" s="47"/>
    </row>
    <row r="38" ht="15.75" customHeight="1">
      <c r="A38" s="60"/>
      <c r="H38" s="61"/>
    </row>
    <row r="39" ht="15.75" customHeight="1">
      <c r="A39" s="60"/>
      <c r="H39" s="61"/>
    </row>
    <row r="40" ht="15.75" customHeight="1">
      <c r="A40" s="48"/>
      <c r="B40" s="49"/>
      <c r="C40" s="49"/>
      <c r="D40" s="49"/>
      <c r="E40" s="49"/>
      <c r="F40" s="49"/>
      <c r="G40" s="49"/>
      <c r="H40" s="50"/>
    </row>
    <row r="41" ht="15.75" customHeight="1"/>
    <row r="42" ht="15.75" customHeight="1"/>
    <row r="43" ht="15.75" customHeight="1">
      <c r="A43" s="42" t="s">
        <v>268</v>
      </c>
      <c r="E43" s="35" t="s">
        <v>170</v>
      </c>
      <c r="F43" s="51">
        <v>20.0</v>
      </c>
      <c r="G43" s="35" t="s">
        <v>258</v>
      </c>
      <c r="H43" s="51">
        <v>40.0</v>
      </c>
    </row>
    <row r="44" ht="15.75" customHeight="1">
      <c r="A44" s="59" t="s">
        <v>269</v>
      </c>
    </row>
    <row r="45" ht="15.75" customHeight="1">
      <c r="A45" s="68" t="s">
        <v>182</v>
      </c>
      <c r="B45" s="69" t="s">
        <v>94</v>
      </c>
      <c r="C45" s="21"/>
      <c r="D45" s="21"/>
      <c r="E45" s="21"/>
      <c r="F45" s="21"/>
      <c r="G45" s="21"/>
      <c r="H45" s="22"/>
    </row>
    <row r="46" ht="15.75" customHeight="1">
      <c r="A46" s="68" t="s">
        <v>182</v>
      </c>
      <c r="B46" s="69" t="s">
        <v>31</v>
      </c>
      <c r="C46" s="21"/>
      <c r="D46" s="21"/>
      <c r="E46" s="21"/>
      <c r="F46" s="21"/>
      <c r="G46" s="21"/>
      <c r="H46" s="22"/>
    </row>
    <row r="47" ht="15.75" customHeight="1">
      <c r="A47" s="68" t="s">
        <v>182</v>
      </c>
      <c r="B47" s="69" t="s">
        <v>67</v>
      </c>
      <c r="C47" s="21"/>
      <c r="D47" s="21"/>
      <c r="E47" s="21"/>
      <c r="F47" s="21"/>
      <c r="G47" s="21"/>
      <c r="H47" s="22"/>
    </row>
    <row r="48" ht="15.75" customHeight="1">
      <c r="A48" s="68" t="s">
        <v>259</v>
      </c>
      <c r="B48" s="32" t="s">
        <v>270</v>
      </c>
      <c r="C48" s="21"/>
      <c r="D48" s="21"/>
      <c r="E48" s="21"/>
      <c r="F48" s="21"/>
      <c r="G48" s="21"/>
      <c r="H48" s="22"/>
    </row>
    <row r="49" ht="15.75" customHeight="1">
      <c r="A49" s="70" t="s">
        <v>261</v>
      </c>
      <c r="B49" s="21"/>
      <c r="C49" s="21"/>
      <c r="D49" s="21"/>
      <c r="E49" s="21"/>
      <c r="F49" s="21"/>
      <c r="G49" s="21"/>
      <c r="H49" s="22"/>
    </row>
    <row r="50" ht="15.75" customHeight="1">
      <c r="A50" s="71" t="s">
        <v>262</v>
      </c>
      <c r="B50" s="46"/>
      <c r="C50" s="46"/>
      <c r="D50" s="46"/>
      <c r="E50" s="46"/>
      <c r="F50" s="46"/>
      <c r="G50" s="46"/>
      <c r="H50" s="47"/>
    </row>
    <row r="51" ht="15.75" customHeight="1">
      <c r="A51" s="60"/>
      <c r="H51" s="61"/>
    </row>
    <row r="52" ht="15.75" customHeight="1">
      <c r="A52" s="48"/>
      <c r="B52" s="49"/>
      <c r="C52" s="49"/>
      <c r="D52" s="49"/>
      <c r="E52" s="49"/>
      <c r="F52" s="49"/>
      <c r="G52" s="49"/>
      <c r="H52" s="50"/>
    </row>
    <row r="53" ht="15.75" customHeight="1">
      <c r="A53" s="70" t="s">
        <v>263</v>
      </c>
      <c r="B53" s="21"/>
      <c r="C53" s="21"/>
      <c r="D53" s="21"/>
      <c r="E53" s="21"/>
      <c r="F53" s="21"/>
      <c r="G53" s="21"/>
      <c r="H53" s="22"/>
    </row>
    <row r="54" ht="15.75" customHeight="1">
      <c r="A54" s="72" t="s">
        <v>271</v>
      </c>
      <c r="B54" s="46"/>
      <c r="C54" s="46"/>
      <c r="D54" s="46"/>
      <c r="E54" s="46"/>
      <c r="F54" s="46"/>
      <c r="G54" s="46"/>
      <c r="H54" s="47"/>
    </row>
    <row r="55" ht="15.75" customHeight="1">
      <c r="A55" s="60"/>
      <c r="H55" s="61"/>
    </row>
    <row r="56" ht="15.75" customHeight="1">
      <c r="A56" s="60"/>
      <c r="H56" s="61"/>
    </row>
    <row r="57" ht="15.75" customHeight="1">
      <c r="A57" s="48"/>
      <c r="B57" s="49"/>
      <c r="C57" s="49"/>
      <c r="D57" s="49"/>
      <c r="E57" s="49"/>
      <c r="F57" s="49"/>
      <c r="G57" s="49"/>
      <c r="H57" s="50"/>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8" t="s">
        <v>272</v>
      </c>
    </row>
    <row r="3" ht="15.75" customHeight="1"/>
    <row r="4" ht="15.75" customHeight="1">
      <c r="B4" s="19" t="s">
        <v>1</v>
      </c>
      <c r="C4" s="20" t="str">
        <f>'Diseño'!C4</f>
        <v>786 - Sistemas Organizacionales y Gerenciales 1</v>
      </c>
      <c r="D4" s="21"/>
      <c r="E4" s="21"/>
      <c r="F4" s="21"/>
      <c r="G4" s="22"/>
    </row>
    <row r="5" ht="15.75" customHeight="1">
      <c r="B5" s="40" t="s">
        <v>122</v>
      </c>
      <c r="C5" s="20">
        <f>H9+H26+H43+H60+H77+H94+H111</f>
        <v>150</v>
      </c>
      <c r="D5" s="21"/>
      <c r="E5" s="21"/>
      <c r="F5" s="21"/>
      <c r="G5" s="22"/>
    </row>
    <row r="6" ht="15.75" customHeight="1">
      <c r="B6" s="40" t="s">
        <v>170</v>
      </c>
      <c r="C6" s="20">
        <f>F9+F26+F43+F60+F77+F94+F111</f>
        <v>30</v>
      </c>
      <c r="D6" s="21"/>
      <c r="E6" s="21"/>
      <c r="F6" s="21"/>
      <c r="G6" s="22"/>
    </row>
    <row r="7" ht="15.75" customHeight="1">
      <c r="B7" s="6" t="s">
        <v>273</v>
      </c>
    </row>
    <row r="8" ht="15.75" customHeight="1"/>
    <row r="9" ht="15.75" customHeight="1">
      <c r="A9" s="42" t="s">
        <v>274</v>
      </c>
      <c r="E9" s="35" t="s">
        <v>170</v>
      </c>
      <c r="F9" s="51">
        <v>10.0</v>
      </c>
      <c r="G9" s="35" t="s">
        <v>258</v>
      </c>
      <c r="H9" s="51">
        <v>50.0</v>
      </c>
    </row>
    <row r="10" ht="15.75" customHeight="1">
      <c r="A10" s="6" t="s">
        <v>275</v>
      </c>
    </row>
    <row r="11" ht="15.75" customHeight="1">
      <c r="A11" s="53" t="s">
        <v>182</v>
      </c>
      <c r="B11" s="32" t="s">
        <v>94</v>
      </c>
      <c r="C11" s="21"/>
      <c r="D11" s="21"/>
      <c r="E11" s="21"/>
      <c r="F11" s="21"/>
      <c r="G11" s="21"/>
      <c r="H11" s="22"/>
    </row>
    <row r="12" ht="15.75" customHeight="1">
      <c r="A12" s="53" t="s">
        <v>182</v>
      </c>
      <c r="B12" s="32" t="s">
        <v>65</v>
      </c>
      <c r="C12" s="21"/>
      <c r="D12" s="21"/>
      <c r="E12" s="21"/>
      <c r="F12" s="21"/>
      <c r="G12" s="21"/>
      <c r="H12" s="22"/>
    </row>
    <row r="13" ht="15.75" customHeight="1">
      <c r="A13" s="53" t="s">
        <v>182</v>
      </c>
      <c r="B13" s="20"/>
      <c r="C13" s="21"/>
      <c r="D13" s="21"/>
      <c r="E13" s="21"/>
      <c r="F13" s="21"/>
      <c r="G13" s="21"/>
      <c r="H13" s="22"/>
    </row>
    <row r="14" ht="15.75" customHeight="1">
      <c r="A14" s="53" t="s">
        <v>259</v>
      </c>
      <c r="B14" s="20"/>
      <c r="C14" s="21"/>
      <c r="D14" s="21"/>
      <c r="E14" s="21"/>
      <c r="F14" s="21"/>
      <c r="G14" s="21"/>
      <c r="H14" s="22"/>
    </row>
    <row r="15" ht="15.75" customHeight="1">
      <c r="A15" s="44" t="s">
        <v>261</v>
      </c>
      <c r="B15" s="21"/>
      <c r="C15" s="21"/>
      <c r="D15" s="21"/>
      <c r="E15" s="21"/>
      <c r="F15" s="21"/>
      <c r="G15" s="21"/>
      <c r="H15" s="22"/>
    </row>
    <row r="16" ht="15.75" customHeight="1">
      <c r="A16" s="45" t="s">
        <v>276</v>
      </c>
      <c r="B16" s="46"/>
      <c r="C16" s="46"/>
      <c r="D16" s="46"/>
      <c r="E16" s="46"/>
      <c r="F16" s="46"/>
      <c r="G16" s="46"/>
      <c r="H16" s="47"/>
    </row>
    <row r="17" ht="15.75" customHeight="1">
      <c r="A17" s="60"/>
      <c r="H17" s="61"/>
    </row>
    <row r="18" ht="15.75" customHeight="1">
      <c r="A18" s="48"/>
      <c r="B18" s="49"/>
      <c r="C18" s="49"/>
      <c r="D18" s="49"/>
      <c r="E18" s="49"/>
      <c r="F18" s="49"/>
      <c r="G18" s="49"/>
      <c r="H18" s="50"/>
    </row>
    <row r="19" ht="15.75" customHeight="1">
      <c r="A19" s="44" t="s">
        <v>263</v>
      </c>
      <c r="B19" s="21"/>
      <c r="C19" s="21"/>
      <c r="D19" s="21"/>
      <c r="E19" s="21"/>
      <c r="F19" s="21"/>
      <c r="G19" s="21"/>
      <c r="H19" s="22"/>
    </row>
    <row r="20" ht="15.75" customHeight="1">
      <c r="A20" s="73" t="s">
        <v>277</v>
      </c>
      <c r="B20" s="46"/>
      <c r="C20" s="46"/>
      <c r="D20" s="46"/>
      <c r="E20" s="46"/>
      <c r="F20" s="46"/>
      <c r="G20" s="46"/>
      <c r="H20" s="47"/>
    </row>
    <row r="21" ht="15.75" customHeight="1">
      <c r="A21" s="60"/>
      <c r="H21" s="61"/>
    </row>
    <row r="22" ht="15.75" customHeight="1">
      <c r="A22" s="60"/>
      <c r="H22" s="61"/>
    </row>
    <row r="23" ht="15.75" customHeight="1">
      <c r="A23" s="48"/>
      <c r="B23" s="49"/>
      <c r="C23" s="49"/>
      <c r="D23" s="49"/>
      <c r="E23" s="49"/>
      <c r="F23" s="49"/>
      <c r="G23" s="49"/>
      <c r="H23" s="50"/>
    </row>
    <row r="24" ht="15.75" customHeight="1"/>
    <row r="25" ht="15.75" customHeight="1"/>
    <row r="26" ht="15.75" customHeight="1">
      <c r="A26" s="42" t="s">
        <v>278</v>
      </c>
      <c r="E26" s="35" t="s">
        <v>170</v>
      </c>
      <c r="F26" s="51">
        <v>10.0</v>
      </c>
      <c r="G26" s="35" t="s">
        <v>258</v>
      </c>
      <c r="H26" s="51">
        <v>50.0</v>
      </c>
    </row>
    <row r="27" ht="15.75" customHeight="1">
      <c r="A27" s="59" t="s">
        <v>269</v>
      </c>
    </row>
    <row r="28" ht="15.75" customHeight="1">
      <c r="A28" s="53" t="s">
        <v>182</v>
      </c>
      <c r="B28" s="32" t="s">
        <v>55</v>
      </c>
      <c r="C28" s="21"/>
      <c r="D28" s="21"/>
      <c r="E28" s="21"/>
      <c r="F28" s="21"/>
      <c r="G28" s="21"/>
      <c r="H28" s="22"/>
    </row>
    <row r="29" ht="15.75" customHeight="1">
      <c r="A29" s="53" t="s">
        <v>182</v>
      </c>
      <c r="B29" s="32" t="s">
        <v>22</v>
      </c>
      <c r="C29" s="21"/>
      <c r="D29" s="21"/>
      <c r="E29" s="21"/>
      <c r="F29" s="21"/>
      <c r="G29" s="21"/>
      <c r="H29" s="22"/>
    </row>
    <row r="30" ht="15.75" customHeight="1">
      <c r="A30" s="53" t="s">
        <v>182</v>
      </c>
      <c r="B30" s="20"/>
      <c r="C30" s="21"/>
      <c r="D30" s="21"/>
      <c r="E30" s="21"/>
      <c r="F30" s="21"/>
      <c r="G30" s="21"/>
      <c r="H30" s="22"/>
    </row>
    <row r="31" ht="15.75" customHeight="1">
      <c r="A31" s="53" t="s">
        <v>259</v>
      </c>
      <c r="B31" s="20"/>
      <c r="C31" s="21"/>
      <c r="D31" s="21"/>
      <c r="E31" s="21"/>
      <c r="F31" s="21"/>
      <c r="G31" s="21"/>
      <c r="H31" s="22"/>
    </row>
    <row r="32" ht="15.75" customHeight="1">
      <c r="A32" s="44" t="s">
        <v>261</v>
      </c>
      <c r="B32" s="21"/>
      <c r="C32" s="21"/>
      <c r="D32" s="21"/>
      <c r="E32" s="21"/>
      <c r="F32" s="21"/>
      <c r="G32" s="21"/>
      <c r="H32" s="22"/>
    </row>
    <row r="33" ht="15.75" customHeight="1">
      <c r="A33" s="45" t="s">
        <v>279</v>
      </c>
      <c r="B33" s="46"/>
      <c r="C33" s="46"/>
      <c r="D33" s="46"/>
      <c r="E33" s="46"/>
      <c r="F33" s="46"/>
      <c r="G33" s="46"/>
      <c r="H33" s="47"/>
    </row>
    <row r="34" ht="15.75" customHeight="1">
      <c r="A34" s="60"/>
      <c r="H34" s="61"/>
    </row>
    <row r="35" ht="15.75" customHeight="1">
      <c r="A35" s="48"/>
      <c r="B35" s="49"/>
      <c r="C35" s="49"/>
      <c r="D35" s="49"/>
      <c r="E35" s="49"/>
      <c r="F35" s="49"/>
      <c r="G35" s="49"/>
      <c r="H35" s="50"/>
    </row>
    <row r="36" ht="15.75" customHeight="1">
      <c r="A36" s="44" t="s">
        <v>263</v>
      </c>
      <c r="B36" s="21"/>
      <c r="C36" s="21"/>
      <c r="D36" s="21"/>
      <c r="E36" s="21"/>
      <c r="F36" s="21"/>
      <c r="G36" s="21"/>
      <c r="H36" s="22"/>
    </row>
    <row r="37" ht="15.75" customHeight="1">
      <c r="A37" s="73" t="s">
        <v>280</v>
      </c>
      <c r="B37" s="46"/>
      <c r="C37" s="46"/>
      <c r="D37" s="46"/>
      <c r="E37" s="46"/>
      <c r="F37" s="46"/>
      <c r="G37" s="46"/>
      <c r="H37" s="47"/>
    </row>
    <row r="38" ht="15.75" customHeight="1">
      <c r="A38" s="60"/>
      <c r="H38" s="61"/>
    </row>
    <row r="39" ht="15.75" customHeight="1">
      <c r="A39" s="60"/>
      <c r="H39" s="61"/>
    </row>
    <row r="40" ht="15.75" customHeight="1">
      <c r="A40" s="48"/>
      <c r="B40" s="49"/>
      <c r="C40" s="49"/>
      <c r="D40" s="49"/>
      <c r="E40" s="49"/>
      <c r="F40" s="49"/>
      <c r="G40" s="49"/>
      <c r="H40" s="50"/>
    </row>
    <row r="41" ht="15.75" customHeight="1"/>
    <row r="42" ht="15.75" customHeight="1"/>
    <row r="43" ht="15.75" customHeight="1">
      <c r="A43" s="42" t="s">
        <v>281</v>
      </c>
      <c r="E43" s="35" t="s">
        <v>170</v>
      </c>
      <c r="F43" s="51">
        <v>10.0</v>
      </c>
      <c r="G43" s="35" t="s">
        <v>258</v>
      </c>
      <c r="H43" s="51">
        <v>50.0</v>
      </c>
    </row>
    <row r="44" ht="15.75" customHeight="1">
      <c r="A44" s="59" t="s">
        <v>269</v>
      </c>
    </row>
    <row r="45" ht="15.75" customHeight="1">
      <c r="A45" s="53" t="s">
        <v>182</v>
      </c>
      <c r="B45" s="32" t="s">
        <v>12</v>
      </c>
      <c r="C45" s="21"/>
      <c r="D45" s="21"/>
      <c r="E45" s="21"/>
      <c r="F45" s="21"/>
      <c r="G45" s="21"/>
      <c r="H45" s="22"/>
    </row>
    <row r="46" ht="15.75" customHeight="1">
      <c r="A46" s="53" t="s">
        <v>182</v>
      </c>
      <c r="B46" s="32" t="s">
        <v>22</v>
      </c>
      <c r="C46" s="21"/>
      <c r="D46" s="21"/>
      <c r="E46" s="21"/>
      <c r="F46" s="21"/>
      <c r="G46" s="21"/>
      <c r="H46" s="22"/>
    </row>
    <row r="47" ht="15.75" customHeight="1">
      <c r="A47" s="53" t="s">
        <v>182</v>
      </c>
      <c r="B47" s="20"/>
      <c r="C47" s="21"/>
      <c r="D47" s="21"/>
      <c r="E47" s="21"/>
      <c r="F47" s="21"/>
      <c r="G47" s="21"/>
      <c r="H47" s="22"/>
    </row>
    <row r="48" ht="15.75" customHeight="1">
      <c r="A48" s="53" t="s">
        <v>259</v>
      </c>
      <c r="B48" s="20"/>
      <c r="C48" s="21"/>
      <c r="D48" s="21"/>
      <c r="E48" s="21"/>
      <c r="F48" s="21"/>
      <c r="G48" s="21"/>
      <c r="H48" s="22"/>
    </row>
    <row r="49" ht="15.75" customHeight="1">
      <c r="A49" s="44" t="s">
        <v>261</v>
      </c>
      <c r="B49" s="21"/>
      <c r="C49" s="21"/>
      <c r="D49" s="21"/>
      <c r="E49" s="21"/>
      <c r="F49" s="21"/>
      <c r="G49" s="21"/>
      <c r="H49" s="22"/>
    </row>
    <row r="50" ht="15.75" customHeight="1">
      <c r="A50" s="45" t="s">
        <v>279</v>
      </c>
      <c r="B50" s="46"/>
      <c r="C50" s="46"/>
      <c r="D50" s="46"/>
      <c r="E50" s="46"/>
      <c r="F50" s="46"/>
      <c r="G50" s="46"/>
      <c r="H50" s="47"/>
    </row>
    <row r="51" ht="15.75" customHeight="1">
      <c r="A51" s="60"/>
      <c r="H51" s="61"/>
    </row>
    <row r="52" ht="15.75" customHeight="1">
      <c r="A52" s="48"/>
      <c r="B52" s="49"/>
      <c r="C52" s="49"/>
      <c r="D52" s="49"/>
      <c r="E52" s="49"/>
      <c r="F52" s="49"/>
      <c r="G52" s="49"/>
      <c r="H52" s="50"/>
    </row>
    <row r="53" ht="15.75" customHeight="1">
      <c r="A53" s="44" t="s">
        <v>263</v>
      </c>
      <c r="B53" s="21"/>
      <c r="C53" s="21"/>
      <c r="D53" s="21"/>
      <c r="E53" s="21"/>
      <c r="F53" s="21"/>
      <c r="G53" s="21"/>
      <c r="H53" s="22"/>
    </row>
    <row r="54" ht="15.75" customHeight="1">
      <c r="A54" s="73" t="s">
        <v>282</v>
      </c>
      <c r="B54" s="46"/>
      <c r="C54" s="46"/>
      <c r="D54" s="46"/>
      <c r="E54" s="46"/>
      <c r="F54" s="46"/>
      <c r="G54" s="46"/>
      <c r="H54" s="47"/>
    </row>
    <row r="55" ht="15.75" customHeight="1">
      <c r="A55" s="60"/>
      <c r="H55" s="61"/>
    </row>
    <row r="56" ht="15.75" customHeight="1">
      <c r="A56" s="60"/>
      <c r="H56" s="61"/>
    </row>
    <row r="57" ht="15.75" customHeight="1">
      <c r="A57" s="48"/>
      <c r="B57" s="49"/>
      <c r="C57" s="49"/>
      <c r="D57" s="49"/>
      <c r="E57" s="49"/>
      <c r="F57" s="49"/>
      <c r="G57" s="49"/>
      <c r="H57" s="50"/>
    </row>
    <row r="58" ht="15.75" customHeight="1"/>
    <row r="59" ht="15.75" customHeight="1"/>
    <row r="60" ht="15.75" customHeight="1">
      <c r="A60" s="42" t="s">
        <v>283</v>
      </c>
      <c r="E60" s="35" t="s">
        <v>170</v>
      </c>
      <c r="F60" s="43"/>
      <c r="G60" s="35" t="s">
        <v>258</v>
      </c>
      <c r="H60" s="43"/>
    </row>
    <row r="61" ht="15.75" customHeight="1">
      <c r="A61" s="59" t="s">
        <v>269</v>
      </c>
    </row>
    <row r="62" ht="15.75" customHeight="1">
      <c r="A62" s="53" t="s">
        <v>182</v>
      </c>
      <c r="B62" s="20"/>
      <c r="C62" s="21"/>
      <c r="D62" s="21"/>
      <c r="E62" s="21"/>
      <c r="F62" s="21"/>
      <c r="G62" s="21"/>
      <c r="H62" s="22"/>
    </row>
    <row r="63" ht="15.75" customHeight="1">
      <c r="A63" s="53" t="s">
        <v>182</v>
      </c>
      <c r="B63" s="20"/>
      <c r="C63" s="21"/>
      <c r="D63" s="21"/>
      <c r="E63" s="21"/>
      <c r="F63" s="21"/>
      <c r="G63" s="21"/>
      <c r="H63" s="22"/>
    </row>
    <row r="64" ht="15.75" customHeight="1">
      <c r="A64" s="53" t="s">
        <v>182</v>
      </c>
      <c r="B64" s="20"/>
      <c r="C64" s="21"/>
      <c r="D64" s="21"/>
      <c r="E64" s="21"/>
      <c r="F64" s="21"/>
      <c r="G64" s="21"/>
      <c r="H64" s="22"/>
    </row>
    <row r="65" ht="15.75" customHeight="1">
      <c r="A65" s="53" t="s">
        <v>259</v>
      </c>
      <c r="B65" s="20"/>
      <c r="C65" s="21"/>
      <c r="D65" s="21"/>
      <c r="E65" s="21"/>
      <c r="F65" s="21"/>
      <c r="G65" s="21"/>
      <c r="H65" s="22"/>
    </row>
    <row r="66" ht="15.75" customHeight="1">
      <c r="A66" s="44" t="s">
        <v>261</v>
      </c>
      <c r="B66" s="21"/>
      <c r="C66" s="21"/>
      <c r="D66" s="21"/>
      <c r="E66" s="21"/>
      <c r="F66" s="21"/>
      <c r="G66" s="21"/>
      <c r="H66" s="22"/>
    </row>
    <row r="67" ht="15.75" customHeight="1">
      <c r="A67" s="64"/>
      <c r="B67" s="46"/>
      <c r="C67" s="46"/>
      <c r="D67" s="46"/>
      <c r="E67" s="46"/>
      <c r="F67" s="46"/>
      <c r="G67" s="46"/>
      <c r="H67" s="47"/>
    </row>
    <row r="68" ht="15.75" customHeight="1">
      <c r="A68" s="60"/>
      <c r="H68" s="61"/>
    </row>
    <row r="69" ht="15.75" customHeight="1">
      <c r="A69" s="48"/>
      <c r="B69" s="49"/>
      <c r="C69" s="49"/>
      <c r="D69" s="49"/>
      <c r="E69" s="49"/>
      <c r="F69" s="49"/>
      <c r="G69" s="49"/>
      <c r="H69" s="50"/>
    </row>
    <row r="70" ht="15.75" customHeight="1">
      <c r="A70" s="44" t="s">
        <v>263</v>
      </c>
      <c r="B70" s="21"/>
      <c r="C70" s="21"/>
      <c r="D70" s="21"/>
      <c r="E70" s="21"/>
      <c r="F70" s="21"/>
      <c r="G70" s="21"/>
      <c r="H70" s="22"/>
    </row>
    <row r="71" ht="15.75" customHeight="1">
      <c r="A71" s="64"/>
      <c r="B71" s="46"/>
      <c r="C71" s="46"/>
      <c r="D71" s="46"/>
      <c r="E71" s="46"/>
      <c r="F71" s="46"/>
      <c r="G71" s="46"/>
      <c r="H71" s="47"/>
    </row>
    <row r="72" ht="15.75" customHeight="1">
      <c r="A72" s="60"/>
      <c r="H72" s="61"/>
    </row>
    <row r="73" ht="15.75" customHeight="1">
      <c r="A73" s="60"/>
      <c r="H73" s="61"/>
    </row>
    <row r="74" ht="15.75" customHeight="1">
      <c r="A74" s="48"/>
      <c r="B74" s="49"/>
      <c r="C74" s="49"/>
      <c r="D74" s="49"/>
      <c r="E74" s="49"/>
      <c r="F74" s="49"/>
      <c r="G74" s="49"/>
      <c r="H74" s="50"/>
    </row>
    <row r="75" ht="15.75" customHeight="1"/>
    <row r="76" ht="15.75" customHeight="1"/>
    <row r="77" ht="15.75" customHeight="1">
      <c r="A77" s="42" t="s">
        <v>284</v>
      </c>
      <c r="E77" s="35" t="s">
        <v>170</v>
      </c>
      <c r="F77" s="43"/>
      <c r="G77" s="35" t="s">
        <v>258</v>
      </c>
      <c r="H77" s="43"/>
    </row>
    <row r="78" ht="15.75" customHeight="1">
      <c r="A78" s="59" t="s">
        <v>269</v>
      </c>
    </row>
    <row r="79" ht="15.75" customHeight="1">
      <c r="A79" s="53" t="s">
        <v>182</v>
      </c>
      <c r="B79" s="20"/>
      <c r="C79" s="21"/>
      <c r="D79" s="21"/>
      <c r="E79" s="21"/>
      <c r="F79" s="21"/>
      <c r="G79" s="21"/>
      <c r="H79" s="22"/>
    </row>
    <row r="80" ht="15.75" customHeight="1">
      <c r="A80" s="53" t="s">
        <v>182</v>
      </c>
      <c r="B80" s="20"/>
      <c r="C80" s="21"/>
      <c r="D80" s="21"/>
      <c r="E80" s="21"/>
      <c r="F80" s="21"/>
      <c r="G80" s="21"/>
      <c r="H80" s="22"/>
    </row>
    <row r="81" ht="15.75" customHeight="1">
      <c r="A81" s="53" t="s">
        <v>182</v>
      </c>
      <c r="B81" s="20"/>
      <c r="C81" s="21"/>
      <c r="D81" s="21"/>
      <c r="E81" s="21"/>
      <c r="F81" s="21"/>
      <c r="G81" s="21"/>
      <c r="H81" s="22"/>
    </row>
    <row r="82" ht="15.75" customHeight="1">
      <c r="A82" s="53" t="s">
        <v>259</v>
      </c>
      <c r="B82" s="20"/>
      <c r="C82" s="21"/>
      <c r="D82" s="21"/>
      <c r="E82" s="21"/>
      <c r="F82" s="21"/>
      <c r="G82" s="21"/>
      <c r="H82" s="22"/>
    </row>
    <row r="83" ht="15.75" customHeight="1">
      <c r="A83" s="44" t="s">
        <v>261</v>
      </c>
      <c r="B83" s="21"/>
      <c r="C83" s="21"/>
      <c r="D83" s="21"/>
      <c r="E83" s="21"/>
      <c r="F83" s="21"/>
      <c r="G83" s="21"/>
      <c r="H83" s="22"/>
    </row>
    <row r="84" ht="15.75" customHeight="1">
      <c r="A84" s="64"/>
      <c r="B84" s="46"/>
      <c r="C84" s="46"/>
      <c r="D84" s="46"/>
      <c r="E84" s="46"/>
      <c r="F84" s="46"/>
      <c r="G84" s="46"/>
      <c r="H84" s="47"/>
    </row>
    <row r="85" ht="15.75" customHeight="1">
      <c r="A85" s="60"/>
      <c r="H85" s="61"/>
    </row>
    <row r="86" ht="15.75" customHeight="1">
      <c r="A86" s="48"/>
      <c r="B86" s="49"/>
      <c r="C86" s="49"/>
      <c r="D86" s="49"/>
      <c r="E86" s="49"/>
      <c r="F86" s="49"/>
      <c r="G86" s="49"/>
      <c r="H86" s="50"/>
    </row>
    <row r="87" ht="15.75" customHeight="1">
      <c r="A87" s="44" t="s">
        <v>263</v>
      </c>
      <c r="B87" s="21"/>
      <c r="C87" s="21"/>
      <c r="D87" s="21"/>
      <c r="E87" s="21"/>
      <c r="F87" s="21"/>
      <c r="G87" s="21"/>
      <c r="H87" s="22"/>
    </row>
    <row r="88" ht="15.75" customHeight="1">
      <c r="A88" s="64"/>
      <c r="B88" s="46"/>
      <c r="C88" s="46"/>
      <c r="D88" s="46"/>
      <c r="E88" s="46"/>
      <c r="F88" s="46"/>
      <c r="G88" s="46"/>
      <c r="H88" s="47"/>
    </row>
    <row r="89" ht="15.75" customHeight="1">
      <c r="A89" s="60"/>
      <c r="H89" s="61"/>
    </row>
    <row r="90" ht="15.75" customHeight="1">
      <c r="A90" s="60"/>
      <c r="H90" s="61"/>
    </row>
    <row r="91" ht="15.75" customHeight="1">
      <c r="A91" s="48"/>
      <c r="B91" s="49"/>
      <c r="C91" s="49"/>
      <c r="D91" s="49"/>
      <c r="E91" s="49"/>
      <c r="F91" s="49"/>
      <c r="G91" s="49"/>
      <c r="H91" s="50"/>
    </row>
    <row r="92" ht="15.75" customHeight="1"/>
    <row r="93" ht="15.75" customHeight="1"/>
    <row r="94" ht="15.75" customHeight="1">
      <c r="A94" s="42" t="s">
        <v>285</v>
      </c>
      <c r="E94" s="35" t="s">
        <v>170</v>
      </c>
      <c r="F94" s="43"/>
      <c r="G94" s="35" t="s">
        <v>258</v>
      </c>
      <c r="H94" s="43"/>
    </row>
    <row r="95" ht="15.75" customHeight="1">
      <c r="A95" s="59" t="s">
        <v>269</v>
      </c>
    </row>
    <row r="96" ht="15.75" customHeight="1">
      <c r="A96" s="53" t="s">
        <v>182</v>
      </c>
      <c r="B96" s="20"/>
      <c r="C96" s="21"/>
      <c r="D96" s="21"/>
      <c r="E96" s="21"/>
      <c r="F96" s="21"/>
      <c r="G96" s="21"/>
      <c r="H96" s="22"/>
    </row>
    <row r="97" ht="15.75" customHeight="1">
      <c r="A97" s="53" t="s">
        <v>182</v>
      </c>
      <c r="B97" s="20"/>
      <c r="C97" s="21"/>
      <c r="D97" s="21"/>
      <c r="E97" s="21"/>
      <c r="F97" s="21"/>
      <c r="G97" s="21"/>
      <c r="H97" s="22"/>
    </row>
    <row r="98" ht="15.75" customHeight="1">
      <c r="A98" s="53" t="s">
        <v>182</v>
      </c>
      <c r="B98" s="20"/>
      <c r="C98" s="21"/>
      <c r="D98" s="21"/>
      <c r="E98" s="21"/>
      <c r="F98" s="21"/>
      <c r="G98" s="21"/>
      <c r="H98" s="22"/>
    </row>
    <row r="99" ht="15.75" customHeight="1">
      <c r="A99" s="53" t="s">
        <v>259</v>
      </c>
      <c r="B99" s="20"/>
      <c r="C99" s="21"/>
      <c r="D99" s="21"/>
      <c r="E99" s="21"/>
      <c r="F99" s="21"/>
      <c r="G99" s="21"/>
      <c r="H99" s="22"/>
    </row>
    <row r="100" ht="15.75" customHeight="1">
      <c r="A100" s="44" t="s">
        <v>261</v>
      </c>
      <c r="B100" s="21"/>
      <c r="C100" s="21"/>
      <c r="D100" s="21"/>
      <c r="E100" s="21"/>
      <c r="F100" s="21"/>
      <c r="G100" s="21"/>
      <c r="H100" s="22"/>
    </row>
    <row r="101" ht="15.75" customHeight="1">
      <c r="A101" s="64"/>
      <c r="B101" s="46"/>
      <c r="C101" s="46"/>
      <c r="D101" s="46"/>
      <c r="E101" s="46"/>
      <c r="F101" s="46"/>
      <c r="G101" s="46"/>
      <c r="H101" s="47"/>
    </row>
    <row r="102" ht="15.75" customHeight="1">
      <c r="A102" s="60"/>
      <c r="H102" s="61"/>
    </row>
    <row r="103" ht="15.75" customHeight="1">
      <c r="A103" s="48"/>
      <c r="B103" s="49"/>
      <c r="C103" s="49"/>
      <c r="D103" s="49"/>
      <c r="E103" s="49"/>
      <c r="F103" s="49"/>
      <c r="G103" s="49"/>
      <c r="H103" s="50"/>
    </row>
    <row r="104" ht="15.75" customHeight="1">
      <c r="A104" s="44" t="s">
        <v>263</v>
      </c>
      <c r="B104" s="21"/>
      <c r="C104" s="21"/>
      <c r="D104" s="21"/>
      <c r="E104" s="21"/>
      <c r="F104" s="21"/>
      <c r="G104" s="21"/>
      <c r="H104" s="22"/>
    </row>
    <row r="105" ht="15.75" customHeight="1">
      <c r="A105" s="64"/>
      <c r="B105" s="46"/>
      <c r="C105" s="46"/>
      <c r="D105" s="46"/>
      <c r="E105" s="46"/>
      <c r="F105" s="46"/>
      <c r="G105" s="46"/>
      <c r="H105" s="47"/>
    </row>
    <row r="106" ht="15.75" customHeight="1">
      <c r="A106" s="60"/>
      <c r="H106" s="61"/>
    </row>
    <row r="107" ht="15.75" customHeight="1">
      <c r="A107" s="60"/>
      <c r="H107" s="61"/>
    </row>
    <row r="108" ht="15.75" customHeight="1">
      <c r="A108" s="48"/>
      <c r="B108" s="49"/>
      <c r="C108" s="49"/>
      <c r="D108" s="49"/>
      <c r="E108" s="49"/>
      <c r="F108" s="49"/>
      <c r="G108" s="49"/>
      <c r="H108" s="50"/>
    </row>
    <row r="109" ht="15.75" customHeight="1"/>
    <row r="110" ht="15.75" customHeight="1"/>
    <row r="111" ht="15.75" customHeight="1">
      <c r="A111" s="42" t="s">
        <v>286</v>
      </c>
      <c r="E111" s="35" t="s">
        <v>170</v>
      </c>
      <c r="F111" s="43"/>
      <c r="G111" s="35" t="s">
        <v>258</v>
      </c>
      <c r="H111" s="43"/>
    </row>
    <row r="112" ht="15.75" customHeight="1">
      <c r="A112" s="59" t="s">
        <v>269</v>
      </c>
    </row>
    <row r="113" ht="15.75" customHeight="1">
      <c r="A113" s="53" t="s">
        <v>182</v>
      </c>
      <c r="B113" s="20"/>
      <c r="C113" s="21"/>
      <c r="D113" s="21"/>
      <c r="E113" s="21"/>
      <c r="F113" s="21"/>
      <c r="G113" s="21"/>
      <c r="H113" s="22"/>
    </row>
    <row r="114" ht="15.75" customHeight="1">
      <c r="A114" s="53" t="s">
        <v>182</v>
      </c>
      <c r="B114" s="20"/>
      <c r="C114" s="21"/>
      <c r="D114" s="21"/>
      <c r="E114" s="21"/>
      <c r="F114" s="21"/>
      <c r="G114" s="21"/>
      <c r="H114" s="22"/>
    </row>
    <row r="115" ht="15.75" customHeight="1">
      <c r="A115" s="53" t="s">
        <v>182</v>
      </c>
      <c r="B115" s="20"/>
      <c r="C115" s="21"/>
      <c r="D115" s="21"/>
      <c r="E115" s="21"/>
      <c r="F115" s="21"/>
      <c r="G115" s="21"/>
      <c r="H115" s="22"/>
    </row>
    <row r="116" ht="15.75" customHeight="1">
      <c r="A116" s="53" t="s">
        <v>259</v>
      </c>
      <c r="B116" s="20"/>
      <c r="C116" s="21"/>
      <c r="D116" s="21"/>
      <c r="E116" s="21"/>
      <c r="F116" s="21"/>
      <c r="G116" s="21"/>
      <c r="H116" s="22"/>
    </row>
    <row r="117" ht="15.75" customHeight="1">
      <c r="A117" s="44" t="s">
        <v>261</v>
      </c>
      <c r="B117" s="21"/>
      <c r="C117" s="21"/>
      <c r="D117" s="21"/>
      <c r="E117" s="21"/>
      <c r="F117" s="21"/>
      <c r="G117" s="21"/>
      <c r="H117" s="22"/>
    </row>
    <row r="118" ht="15.75" customHeight="1">
      <c r="A118" s="64"/>
      <c r="B118" s="46"/>
      <c r="C118" s="46"/>
      <c r="D118" s="46"/>
      <c r="E118" s="46"/>
      <c r="F118" s="46"/>
      <c r="G118" s="46"/>
      <c r="H118" s="47"/>
    </row>
    <row r="119" ht="15.75" customHeight="1">
      <c r="A119" s="60"/>
      <c r="H119" s="61"/>
    </row>
    <row r="120" ht="15.75" customHeight="1">
      <c r="A120" s="48"/>
      <c r="B120" s="49"/>
      <c r="C120" s="49"/>
      <c r="D120" s="49"/>
      <c r="E120" s="49"/>
      <c r="F120" s="49"/>
      <c r="G120" s="49"/>
      <c r="H120" s="50"/>
    </row>
    <row r="121" ht="15.75" customHeight="1">
      <c r="A121" s="44" t="s">
        <v>263</v>
      </c>
      <c r="B121" s="21"/>
      <c r="C121" s="21"/>
      <c r="D121" s="21"/>
      <c r="E121" s="21"/>
      <c r="F121" s="21"/>
      <c r="G121" s="21"/>
      <c r="H121" s="22"/>
    </row>
    <row r="122" ht="15.75" customHeight="1">
      <c r="A122" s="64"/>
      <c r="B122" s="46"/>
      <c r="C122" s="46"/>
      <c r="D122" s="46"/>
      <c r="E122" s="46"/>
      <c r="F122" s="46"/>
      <c r="G122" s="46"/>
      <c r="H122" s="47"/>
    </row>
    <row r="123" ht="15.75" customHeight="1">
      <c r="A123" s="60"/>
      <c r="H123" s="61"/>
    </row>
    <row r="124" ht="15.75" customHeight="1">
      <c r="A124" s="60"/>
      <c r="H124" s="61"/>
    </row>
    <row r="125" ht="15.75" customHeight="1">
      <c r="A125" s="48"/>
      <c r="B125" s="49"/>
      <c r="C125" s="49"/>
      <c r="D125" s="49"/>
      <c r="E125" s="49"/>
      <c r="F125" s="49"/>
      <c r="G125" s="49"/>
      <c r="H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8" t="s">
        <v>287</v>
      </c>
    </row>
    <row r="3" ht="15.75" customHeight="1"/>
    <row r="4" ht="15.75" customHeight="1">
      <c r="B4" s="19" t="s">
        <v>1</v>
      </c>
      <c r="C4" s="20" t="str">
        <f>'Diseño'!C4</f>
        <v>786 - Sistemas Organizacionales y Gerenciales 1</v>
      </c>
      <c r="D4" s="21"/>
      <c r="E4" s="21"/>
      <c r="F4" s="21"/>
      <c r="G4" s="22"/>
    </row>
    <row r="5" ht="15.75" customHeight="1">
      <c r="B5" s="40" t="s">
        <v>122</v>
      </c>
      <c r="C5" s="20">
        <f>H9+H26+H43+H60+H77+H94+H111</f>
        <v>0</v>
      </c>
      <c r="D5" s="21"/>
      <c r="E5" s="21"/>
      <c r="F5" s="21"/>
      <c r="G5" s="22"/>
    </row>
    <row r="6" ht="15.75" customHeight="1">
      <c r="B6" s="40" t="s">
        <v>170</v>
      </c>
      <c r="C6" s="20">
        <f>F9+F26+F43+F60+F77+F94+F111</f>
        <v>0</v>
      </c>
      <c r="D6" s="21"/>
      <c r="E6" s="21"/>
      <c r="F6" s="21"/>
      <c r="G6" s="22"/>
    </row>
    <row r="7" ht="15.75" customHeight="1">
      <c r="B7" s="6" t="s">
        <v>288</v>
      </c>
    </row>
    <row r="8" ht="15.75" customHeight="1"/>
    <row r="9" ht="15.75" customHeight="1">
      <c r="A9" s="42" t="s">
        <v>289</v>
      </c>
      <c r="E9" s="35" t="s">
        <v>170</v>
      </c>
      <c r="F9" s="43"/>
      <c r="G9" s="35" t="s">
        <v>258</v>
      </c>
      <c r="H9" s="43"/>
    </row>
    <row r="10" ht="15.75" customHeight="1">
      <c r="A10" s="6" t="s">
        <v>275</v>
      </c>
    </row>
    <row r="11" ht="15.75" customHeight="1">
      <c r="A11" s="53" t="s">
        <v>182</v>
      </c>
      <c r="B11" s="20"/>
      <c r="C11" s="21"/>
      <c r="D11" s="21"/>
      <c r="E11" s="21"/>
      <c r="F11" s="21"/>
      <c r="G11" s="21"/>
      <c r="H11" s="22"/>
    </row>
    <row r="12" ht="15.75" customHeight="1">
      <c r="A12" s="53" t="s">
        <v>182</v>
      </c>
      <c r="B12" s="20"/>
      <c r="C12" s="21"/>
      <c r="D12" s="21"/>
      <c r="E12" s="21"/>
      <c r="F12" s="21"/>
      <c r="G12" s="21"/>
      <c r="H12" s="22"/>
    </row>
    <row r="13" ht="15.75" customHeight="1">
      <c r="A13" s="53" t="s">
        <v>182</v>
      </c>
      <c r="B13" s="20"/>
      <c r="C13" s="21"/>
      <c r="D13" s="21"/>
      <c r="E13" s="21"/>
      <c r="F13" s="21"/>
      <c r="G13" s="21"/>
      <c r="H13" s="22"/>
    </row>
    <row r="14" ht="15.75" customHeight="1">
      <c r="A14" s="53" t="s">
        <v>259</v>
      </c>
      <c r="B14" s="20"/>
      <c r="C14" s="21"/>
      <c r="D14" s="21"/>
      <c r="E14" s="21"/>
      <c r="F14" s="21"/>
      <c r="G14" s="21"/>
      <c r="H14" s="22"/>
    </row>
    <row r="15" ht="15.75" customHeight="1">
      <c r="A15" s="44" t="s">
        <v>261</v>
      </c>
      <c r="B15" s="21"/>
      <c r="C15" s="21"/>
      <c r="D15" s="21"/>
      <c r="E15" s="21"/>
      <c r="F15" s="21"/>
      <c r="G15" s="21"/>
      <c r="H15" s="22"/>
    </row>
    <row r="16" ht="15.75" customHeight="1">
      <c r="A16" s="64"/>
      <c r="B16" s="46"/>
      <c r="C16" s="46"/>
      <c r="D16" s="46"/>
      <c r="E16" s="46"/>
      <c r="F16" s="46"/>
      <c r="G16" s="46"/>
      <c r="H16" s="47"/>
    </row>
    <row r="17" ht="15.75" customHeight="1">
      <c r="A17" s="60"/>
      <c r="H17" s="61"/>
    </row>
    <row r="18" ht="15.75" customHeight="1">
      <c r="A18" s="48"/>
      <c r="B18" s="49"/>
      <c r="C18" s="49"/>
      <c r="D18" s="49"/>
      <c r="E18" s="49"/>
      <c r="F18" s="49"/>
      <c r="G18" s="49"/>
      <c r="H18" s="50"/>
    </row>
    <row r="19" ht="15.75" customHeight="1">
      <c r="A19" s="44" t="s">
        <v>263</v>
      </c>
      <c r="B19" s="21"/>
      <c r="C19" s="21"/>
      <c r="D19" s="21"/>
      <c r="E19" s="21"/>
      <c r="F19" s="21"/>
      <c r="G19" s="21"/>
      <c r="H19" s="22"/>
    </row>
    <row r="20" ht="15.75" customHeight="1">
      <c r="A20" s="64"/>
      <c r="B20" s="46"/>
      <c r="C20" s="46"/>
      <c r="D20" s="46"/>
      <c r="E20" s="46"/>
      <c r="F20" s="46"/>
      <c r="G20" s="46"/>
      <c r="H20" s="47"/>
    </row>
    <row r="21" ht="15.75" customHeight="1">
      <c r="A21" s="60"/>
      <c r="H21" s="61"/>
    </row>
    <row r="22" ht="15.75" customHeight="1">
      <c r="A22" s="60"/>
      <c r="H22" s="61"/>
    </row>
    <row r="23" ht="15.75" customHeight="1">
      <c r="A23" s="48"/>
      <c r="B23" s="49"/>
      <c r="C23" s="49"/>
      <c r="D23" s="49"/>
      <c r="E23" s="49"/>
      <c r="F23" s="49"/>
      <c r="G23" s="49"/>
      <c r="H23" s="50"/>
    </row>
    <row r="24" ht="15.75" customHeight="1"/>
    <row r="25" ht="15.75" customHeight="1"/>
    <row r="26" ht="15.75" customHeight="1">
      <c r="A26" s="42" t="s">
        <v>290</v>
      </c>
      <c r="E26" s="35" t="s">
        <v>170</v>
      </c>
      <c r="F26" s="43"/>
      <c r="G26" s="35" t="s">
        <v>258</v>
      </c>
      <c r="H26" s="43"/>
    </row>
    <row r="27" ht="15.75" customHeight="1">
      <c r="A27" s="6" t="s">
        <v>275</v>
      </c>
    </row>
    <row r="28" ht="15.75" customHeight="1">
      <c r="A28" s="53" t="s">
        <v>182</v>
      </c>
      <c r="B28" s="20"/>
      <c r="C28" s="21"/>
      <c r="D28" s="21"/>
      <c r="E28" s="21"/>
      <c r="F28" s="21"/>
      <c r="G28" s="21"/>
      <c r="H28" s="22"/>
    </row>
    <row r="29" ht="15.75" customHeight="1">
      <c r="A29" s="53" t="s">
        <v>182</v>
      </c>
      <c r="B29" s="20"/>
      <c r="C29" s="21"/>
      <c r="D29" s="21"/>
      <c r="E29" s="21"/>
      <c r="F29" s="21"/>
      <c r="G29" s="21"/>
      <c r="H29" s="22"/>
    </row>
    <row r="30" ht="15.75" customHeight="1">
      <c r="A30" s="53" t="s">
        <v>182</v>
      </c>
      <c r="B30" s="20"/>
      <c r="C30" s="21"/>
      <c r="D30" s="21"/>
      <c r="E30" s="21"/>
      <c r="F30" s="21"/>
      <c r="G30" s="21"/>
      <c r="H30" s="22"/>
    </row>
    <row r="31" ht="15.75" customHeight="1">
      <c r="A31" s="53" t="s">
        <v>259</v>
      </c>
      <c r="B31" s="20"/>
      <c r="C31" s="21"/>
      <c r="D31" s="21"/>
      <c r="E31" s="21"/>
      <c r="F31" s="21"/>
      <c r="G31" s="21"/>
      <c r="H31" s="22"/>
    </row>
    <row r="32" ht="15.75" customHeight="1">
      <c r="A32" s="44" t="s">
        <v>261</v>
      </c>
      <c r="B32" s="21"/>
      <c r="C32" s="21"/>
      <c r="D32" s="21"/>
      <c r="E32" s="21"/>
      <c r="F32" s="21"/>
      <c r="G32" s="21"/>
      <c r="H32" s="22"/>
    </row>
    <row r="33" ht="15.75" customHeight="1">
      <c r="A33" s="64"/>
      <c r="B33" s="46"/>
      <c r="C33" s="46"/>
      <c r="D33" s="46"/>
      <c r="E33" s="46"/>
      <c r="F33" s="46"/>
      <c r="G33" s="46"/>
      <c r="H33" s="47"/>
    </row>
    <row r="34" ht="15.75" customHeight="1">
      <c r="A34" s="60"/>
      <c r="H34" s="61"/>
    </row>
    <row r="35" ht="15.75" customHeight="1">
      <c r="A35" s="48"/>
      <c r="B35" s="49"/>
      <c r="C35" s="49"/>
      <c r="D35" s="49"/>
      <c r="E35" s="49"/>
      <c r="F35" s="49"/>
      <c r="G35" s="49"/>
      <c r="H35" s="50"/>
    </row>
    <row r="36" ht="15.75" customHeight="1">
      <c r="A36" s="44" t="s">
        <v>263</v>
      </c>
      <c r="B36" s="21"/>
      <c r="C36" s="21"/>
      <c r="D36" s="21"/>
      <c r="E36" s="21"/>
      <c r="F36" s="21"/>
      <c r="G36" s="21"/>
      <c r="H36" s="22"/>
    </row>
    <row r="37" ht="15.75" customHeight="1">
      <c r="A37" s="64"/>
      <c r="B37" s="46"/>
      <c r="C37" s="46"/>
      <c r="D37" s="46"/>
      <c r="E37" s="46"/>
      <c r="F37" s="46"/>
      <c r="G37" s="46"/>
      <c r="H37" s="47"/>
    </row>
    <row r="38" ht="15.75" customHeight="1">
      <c r="A38" s="60"/>
      <c r="H38" s="61"/>
    </row>
    <row r="39" ht="15.75" customHeight="1">
      <c r="A39" s="60"/>
      <c r="H39" s="61"/>
    </row>
    <row r="40" ht="15.75" customHeight="1">
      <c r="A40" s="48"/>
      <c r="B40" s="49"/>
      <c r="C40" s="49"/>
      <c r="D40" s="49"/>
      <c r="E40" s="49"/>
      <c r="F40" s="49"/>
      <c r="G40" s="49"/>
      <c r="H40" s="50"/>
    </row>
    <row r="41" ht="15.75" customHeight="1"/>
    <row r="42" ht="15.75" customHeight="1"/>
    <row r="43" ht="15.75" customHeight="1">
      <c r="A43" s="42" t="s">
        <v>291</v>
      </c>
      <c r="E43" s="35" t="s">
        <v>170</v>
      </c>
      <c r="F43" s="43"/>
      <c r="G43" s="35" t="s">
        <v>258</v>
      </c>
      <c r="H43" s="43"/>
    </row>
    <row r="44" ht="15.75" customHeight="1">
      <c r="A44" s="59" t="s">
        <v>269</v>
      </c>
    </row>
    <row r="45" ht="15.75" customHeight="1">
      <c r="A45" s="53" t="s">
        <v>182</v>
      </c>
      <c r="B45" s="20"/>
      <c r="C45" s="21"/>
      <c r="D45" s="21"/>
      <c r="E45" s="21"/>
      <c r="F45" s="21"/>
      <c r="G45" s="21"/>
      <c r="H45" s="22"/>
    </row>
    <row r="46" ht="15.75" customHeight="1">
      <c r="A46" s="53" t="s">
        <v>182</v>
      </c>
      <c r="B46" s="20"/>
      <c r="C46" s="21"/>
      <c r="D46" s="21"/>
      <c r="E46" s="21"/>
      <c r="F46" s="21"/>
      <c r="G46" s="21"/>
      <c r="H46" s="22"/>
    </row>
    <row r="47" ht="15.75" customHeight="1">
      <c r="A47" s="53" t="s">
        <v>182</v>
      </c>
      <c r="B47" s="20"/>
      <c r="C47" s="21"/>
      <c r="D47" s="21"/>
      <c r="E47" s="21"/>
      <c r="F47" s="21"/>
      <c r="G47" s="21"/>
      <c r="H47" s="22"/>
    </row>
    <row r="48" ht="15.75" customHeight="1">
      <c r="A48" s="53" t="s">
        <v>259</v>
      </c>
      <c r="B48" s="20"/>
      <c r="C48" s="21"/>
      <c r="D48" s="21"/>
      <c r="E48" s="21"/>
      <c r="F48" s="21"/>
      <c r="G48" s="21"/>
      <c r="H48" s="22"/>
    </row>
    <row r="49" ht="15.75" customHeight="1">
      <c r="A49" s="44" t="s">
        <v>261</v>
      </c>
      <c r="B49" s="21"/>
      <c r="C49" s="21"/>
      <c r="D49" s="21"/>
      <c r="E49" s="21"/>
      <c r="F49" s="21"/>
      <c r="G49" s="21"/>
      <c r="H49" s="22"/>
    </row>
    <row r="50" ht="15.75" customHeight="1">
      <c r="A50" s="64"/>
      <c r="B50" s="46"/>
      <c r="C50" s="46"/>
      <c r="D50" s="46"/>
      <c r="E50" s="46"/>
      <c r="F50" s="46"/>
      <c r="G50" s="46"/>
      <c r="H50" s="47"/>
    </row>
    <row r="51" ht="15.75" customHeight="1">
      <c r="A51" s="60"/>
      <c r="H51" s="61"/>
    </row>
    <row r="52" ht="15.75" customHeight="1">
      <c r="A52" s="48"/>
      <c r="B52" s="49"/>
      <c r="C52" s="49"/>
      <c r="D52" s="49"/>
      <c r="E52" s="49"/>
      <c r="F52" s="49"/>
      <c r="G52" s="49"/>
      <c r="H52" s="50"/>
    </row>
    <row r="53" ht="15.75" customHeight="1">
      <c r="A53" s="44" t="s">
        <v>263</v>
      </c>
      <c r="B53" s="21"/>
      <c r="C53" s="21"/>
      <c r="D53" s="21"/>
      <c r="E53" s="21"/>
      <c r="F53" s="21"/>
      <c r="G53" s="21"/>
      <c r="H53" s="22"/>
    </row>
    <row r="54" ht="15.75" customHeight="1">
      <c r="A54" s="64"/>
      <c r="B54" s="46"/>
      <c r="C54" s="46"/>
      <c r="D54" s="46"/>
      <c r="E54" s="46"/>
      <c r="F54" s="46"/>
      <c r="G54" s="46"/>
      <c r="H54" s="47"/>
    </row>
    <row r="55" ht="15.75" customHeight="1">
      <c r="A55" s="60"/>
      <c r="H55" s="61"/>
    </row>
    <row r="56" ht="15.75" customHeight="1">
      <c r="A56" s="60"/>
      <c r="H56" s="61"/>
    </row>
    <row r="57" ht="15.75" customHeight="1">
      <c r="A57" s="48"/>
      <c r="B57" s="49"/>
      <c r="C57" s="49"/>
      <c r="D57" s="49"/>
      <c r="E57" s="49"/>
      <c r="F57" s="49"/>
      <c r="G57" s="49"/>
      <c r="H57" s="50"/>
    </row>
    <row r="58" ht="15.75" customHeight="1"/>
    <row r="59" ht="15.75" customHeight="1"/>
    <row r="60" ht="15.75" customHeight="1">
      <c r="A60" s="42" t="s">
        <v>292</v>
      </c>
      <c r="E60" s="35" t="s">
        <v>170</v>
      </c>
      <c r="F60" s="43"/>
      <c r="G60" s="35" t="s">
        <v>258</v>
      </c>
      <c r="H60" s="43"/>
    </row>
    <row r="61" ht="15.75" customHeight="1">
      <c r="A61" s="59" t="s">
        <v>269</v>
      </c>
    </row>
    <row r="62" ht="15.75" customHeight="1">
      <c r="A62" s="53" t="s">
        <v>182</v>
      </c>
      <c r="B62" s="20"/>
      <c r="C62" s="21"/>
      <c r="D62" s="21"/>
      <c r="E62" s="21"/>
      <c r="F62" s="21"/>
      <c r="G62" s="21"/>
      <c r="H62" s="22"/>
    </row>
    <row r="63" ht="15.75" customHeight="1">
      <c r="A63" s="53" t="s">
        <v>182</v>
      </c>
      <c r="B63" s="20"/>
      <c r="C63" s="21"/>
      <c r="D63" s="21"/>
      <c r="E63" s="21"/>
      <c r="F63" s="21"/>
      <c r="G63" s="21"/>
      <c r="H63" s="22"/>
    </row>
    <row r="64" ht="15.75" customHeight="1">
      <c r="A64" s="53" t="s">
        <v>182</v>
      </c>
      <c r="B64" s="20"/>
      <c r="C64" s="21"/>
      <c r="D64" s="21"/>
      <c r="E64" s="21"/>
      <c r="F64" s="21"/>
      <c r="G64" s="21"/>
      <c r="H64" s="22"/>
    </row>
    <row r="65" ht="15.75" customHeight="1">
      <c r="A65" s="53" t="s">
        <v>259</v>
      </c>
      <c r="B65" s="20"/>
      <c r="C65" s="21"/>
      <c r="D65" s="21"/>
      <c r="E65" s="21"/>
      <c r="F65" s="21"/>
      <c r="G65" s="21"/>
      <c r="H65" s="22"/>
    </row>
    <row r="66" ht="15.75" customHeight="1">
      <c r="A66" s="44" t="s">
        <v>261</v>
      </c>
      <c r="B66" s="21"/>
      <c r="C66" s="21"/>
      <c r="D66" s="21"/>
      <c r="E66" s="21"/>
      <c r="F66" s="21"/>
      <c r="G66" s="21"/>
      <c r="H66" s="22"/>
    </row>
    <row r="67" ht="15.75" customHeight="1">
      <c r="A67" s="64"/>
      <c r="B67" s="46"/>
      <c r="C67" s="46"/>
      <c r="D67" s="46"/>
      <c r="E67" s="46"/>
      <c r="F67" s="46"/>
      <c r="G67" s="46"/>
      <c r="H67" s="47"/>
    </row>
    <row r="68" ht="15.75" customHeight="1">
      <c r="A68" s="60"/>
      <c r="H68" s="61"/>
    </row>
    <row r="69" ht="15.75" customHeight="1">
      <c r="A69" s="48"/>
      <c r="B69" s="49"/>
      <c r="C69" s="49"/>
      <c r="D69" s="49"/>
      <c r="E69" s="49"/>
      <c r="F69" s="49"/>
      <c r="G69" s="49"/>
      <c r="H69" s="50"/>
    </row>
    <row r="70" ht="15.75" customHeight="1">
      <c r="A70" s="44" t="s">
        <v>263</v>
      </c>
      <c r="B70" s="21"/>
      <c r="C70" s="21"/>
      <c r="D70" s="21"/>
      <c r="E70" s="21"/>
      <c r="F70" s="21"/>
      <c r="G70" s="21"/>
      <c r="H70" s="22"/>
    </row>
    <row r="71" ht="15.75" customHeight="1">
      <c r="A71" s="64"/>
      <c r="B71" s="46"/>
      <c r="C71" s="46"/>
      <c r="D71" s="46"/>
      <c r="E71" s="46"/>
      <c r="F71" s="46"/>
      <c r="G71" s="46"/>
      <c r="H71" s="47"/>
    </row>
    <row r="72" ht="15.75" customHeight="1">
      <c r="A72" s="60"/>
      <c r="H72" s="61"/>
    </row>
    <row r="73" ht="15.75" customHeight="1">
      <c r="A73" s="60"/>
      <c r="H73" s="61"/>
    </row>
    <row r="74" ht="15.75" customHeight="1">
      <c r="A74" s="48"/>
      <c r="B74" s="49"/>
      <c r="C74" s="49"/>
      <c r="D74" s="49"/>
      <c r="E74" s="49"/>
      <c r="F74" s="49"/>
      <c r="G74" s="49"/>
      <c r="H74" s="50"/>
    </row>
    <row r="75" ht="15.75" customHeight="1"/>
    <row r="76" ht="15.75" customHeight="1"/>
    <row r="77" ht="15.75" customHeight="1">
      <c r="A77" s="42" t="s">
        <v>293</v>
      </c>
      <c r="E77" s="35" t="s">
        <v>170</v>
      </c>
      <c r="F77" s="43"/>
      <c r="G77" s="35" t="s">
        <v>258</v>
      </c>
      <c r="H77" s="43"/>
    </row>
    <row r="78" ht="15.75" customHeight="1">
      <c r="A78" s="59" t="s">
        <v>269</v>
      </c>
    </row>
    <row r="79" ht="15.75" customHeight="1">
      <c r="A79" s="53" t="s">
        <v>182</v>
      </c>
      <c r="B79" s="20"/>
      <c r="C79" s="21"/>
      <c r="D79" s="21"/>
      <c r="E79" s="21"/>
      <c r="F79" s="21"/>
      <c r="G79" s="21"/>
      <c r="H79" s="22"/>
    </row>
    <row r="80" ht="15.75" customHeight="1">
      <c r="A80" s="53" t="s">
        <v>182</v>
      </c>
      <c r="B80" s="20"/>
      <c r="C80" s="21"/>
      <c r="D80" s="21"/>
      <c r="E80" s="21"/>
      <c r="F80" s="21"/>
      <c r="G80" s="21"/>
      <c r="H80" s="22"/>
    </row>
    <row r="81" ht="15.75" customHeight="1">
      <c r="A81" s="53" t="s">
        <v>182</v>
      </c>
      <c r="B81" s="20"/>
      <c r="C81" s="21"/>
      <c r="D81" s="21"/>
      <c r="E81" s="21"/>
      <c r="F81" s="21"/>
      <c r="G81" s="21"/>
      <c r="H81" s="22"/>
    </row>
    <row r="82" ht="15.75" customHeight="1">
      <c r="A82" s="53" t="s">
        <v>259</v>
      </c>
      <c r="B82" s="20"/>
      <c r="C82" s="21"/>
      <c r="D82" s="21"/>
      <c r="E82" s="21"/>
      <c r="F82" s="21"/>
      <c r="G82" s="21"/>
      <c r="H82" s="22"/>
    </row>
    <row r="83" ht="15.75" customHeight="1">
      <c r="A83" s="44" t="s">
        <v>261</v>
      </c>
      <c r="B83" s="21"/>
      <c r="C83" s="21"/>
      <c r="D83" s="21"/>
      <c r="E83" s="21"/>
      <c r="F83" s="21"/>
      <c r="G83" s="21"/>
      <c r="H83" s="22"/>
    </row>
    <row r="84" ht="15.75" customHeight="1">
      <c r="A84" s="64"/>
      <c r="B84" s="46"/>
      <c r="C84" s="46"/>
      <c r="D84" s="46"/>
      <c r="E84" s="46"/>
      <c r="F84" s="46"/>
      <c r="G84" s="46"/>
      <c r="H84" s="47"/>
    </row>
    <row r="85" ht="15.75" customHeight="1">
      <c r="A85" s="60"/>
      <c r="H85" s="61"/>
    </row>
    <row r="86" ht="15.75" customHeight="1">
      <c r="A86" s="48"/>
      <c r="B86" s="49"/>
      <c r="C86" s="49"/>
      <c r="D86" s="49"/>
      <c r="E86" s="49"/>
      <c r="F86" s="49"/>
      <c r="G86" s="49"/>
      <c r="H86" s="50"/>
    </row>
    <row r="87" ht="15.75" customHeight="1">
      <c r="A87" s="44" t="s">
        <v>263</v>
      </c>
      <c r="B87" s="21"/>
      <c r="C87" s="21"/>
      <c r="D87" s="21"/>
      <c r="E87" s="21"/>
      <c r="F87" s="21"/>
      <c r="G87" s="21"/>
      <c r="H87" s="22"/>
    </row>
    <row r="88" ht="15.75" customHeight="1">
      <c r="A88" s="64"/>
      <c r="B88" s="46"/>
      <c r="C88" s="46"/>
      <c r="D88" s="46"/>
      <c r="E88" s="46"/>
      <c r="F88" s="46"/>
      <c r="G88" s="46"/>
      <c r="H88" s="47"/>
    </row>
    <row r="89" ht="15.75" customHeight="1">
      <c r="A89" s="60"/>
      <c r="H89" s="61"/>
    </row>
    <row r="90" ht="15.75" customHeight="1">
      <c r="A90" s="60"/>
      <c r="H90" s="61"/>
    </row>
    <row r="91" ht="15.75" customHeight="1">
      <c r="A91" s="48"/>
      <c r="B91" s="49"/>
      <c r="C91" s="49"/>
      <c r="D91" s="49"/>
      <c r="E91" s="49"/>
      <c r="F91" s="49"/>
      <c r="G91" s="49"/>
      <c r="H91" s="50"/>
    </row>
    <row r="92" ht="15.75" customHeight="1"/>
    <row r="93" ht="15.75" customHeight="1"/>
    <row r="94" ht="15.75" customHeight="1">
      <c r="A94" s="42" t="s">
        <v>294</v>
      </c>
      <c r="E94" s="35" t="s">
        <v>170</v>
      </c>
      <c r="F94" s="43"/>
      <c r="G94" s="35" t="s">
        <v>258</v>
      </c>
      <c r="H94" s="43"/>
    </row>
    <row r="95" ht="15.75" customHeight="1">
      <c r="A95" s="59" t="s">
        <v>269</v>
      </c>
    </row>
    <row r="96" ht="15.75" customHeight="1">
      <c r="A96" s="53" t="s">
        <v>182</v>
      </c>
      <c r="B96" s="20"/>
      <c r="C96" s="21"/>
      <c r="D96" s="21"/>
      <c r="E96" s="21"/>
      <c r="F96" s="21"/>
      <c r="G96" s="21"/>
      <c r="H96" s="22"/>
    </row>
    <row r="97" ht="15.75" customHeight="1">
      <c r="A97" s="53" t="s">
        <v>182</v>
      </c>
      <c r="B97" s="20"/>
      <c r="C97" s="21"/>
      <c r="D97" s="21"/>
      <c r="E97" s="21"/>
      <c r="F97" s="21"/>
      <c r="G97" s="21"/>
      <c r="H97" s="22"/>
    </row>
    <row r="98" ht="15.75" customHeight="1">
      <c r="A98" s="53" t="s">
        <v>182</v>
      </c>
      <c r="B98" s="20"/>
      <c r="C98" s="21"/>
      <c r="D98" s="21"/>
      <c r="E98" s="21"/>
      <c r="F98" s="21"/>
      <c r="G98" s="21"/>
      <c r="H98" s="22"/>
    </row>
    <row r="99" ht="15.75" customHeight="1">
      <c r="A99" s="53" t="s">
        <v>259</v>
      </c>
      <c r="B99" s="20"/>
      <c r="C99" s="21"/>
      <c r="D99" s="21"/>
      <c r="E99" s="21"/>
      <c r="F99" s="21"/>
      <c r="G99" s="21"/>
      <c r="H99" s="22"/>
    </row>
    <row r="100" ht="15.75" customHeight="1">
      <c r="A100" s="44" t="s">
        <v>261</v>
      </c>
      <c r="B100" s="21"/>
      <c r="C100" s="21"/>
      <c r="D100" s="21"/>
      <c r="E100" s="21"/>
      <c r="F100" s="21"/>
      <c r="G100" s="21"/>
      <c r="H100" s="22"/>
    </row>
    <row r="101" ht="15.75" customHeight="1">
      <c r="A101" s="64"/>
      <c r="B101" s="46"/>
      <c r="C101" s="46"/>
      <c r="D101" s="46"/>
      <c r="E101" s="46"/>
      <c r="F101" s="46"/>
      <c r="G101" s="46"/>
      <c r="H101" s="47"/>
    </row>
    <row r="102" ht="15.75" customHeight="1">
      <c r="A102" s="60"/>
      <c r="H102" s="61"/>
    </row>
    <row r="103" ht="15.75" customHeight="1">
      <c r="A103" s="48"/>
      <c r="B103" s="49"/>
      <c r="C103" s="49"/>
      <c r="D103" s="49"/>
      <c r="E103" s="49"/>
      <c r="F103" s="49"/>
      <c r="G103" s="49"/>
      <c r="H103" s="50"/>
    </row>
    <row r="104" ht="15.75" customHeight="1">
      <c r="A104" s="44" t="s">
        <v>263</v>
      </c>
      <c r="B104" s="21"/>
      <c r="C104" s="21"/>
      <c r="D104" s="21"/>
      <c r="E104" s="21"/>
      <c r="F104" s="21"/>
      <c r="G104" s="21"/>
      <c r="H104" s="22"/>
    </row>
    <row r="105" ht="15.75" customHeight="1">
      <c r="A105" s="64"/>
      <c r="B105" s="46"/>
      <c r="C105" s="46"/>
      <c r="D105" s="46"/>
      <c r="E105" s="46"/>
      <c r="F105" s="46"/>
      <c r="G105" s="46"/>
      <c r="H105" s="47"/>
    </row>
    <row r="106" ht="15.75" customHeight="1">
      <c r="A106" s="60"/>
      <c r="H106" s="61"/>
    </row>
    <row r="107" ht="15.75" customHeight="1">
      <c r="A107" s="60"/>
      <c r="H107" s="61"/>
    </row>
    <row r="108" ht="15.75" customHeight="1">
      <c r="A108" s="48"/>
      <c r="B108" s="49"/>
      <c r="C108" s="49"/>
      <c r="D108" s="49"/>
      <c r="E108" s="49"/>
      <c r="F108" s="49"/>
      <c r="G108" s="49"/>
      <c r="H108" s="50"/>
    </row>
    <row r="109" ht="15.75" customHeight="1"/>
    <row r="110" ht="15.75" customHeight="1"/>
    <row r="111" ht="15.75" customHeight="1">
      <c r="A111" s="42" t="s">
        <v>295</v>
      </c>
      <c r="E111" s="35" t="s">
        <v>170</v>
      </c>
      <c r="F111" s="43"/>
      <c r="G111" s="35" t="s">
        <v>258</v>
      </c>
      <c r="H111" s="43"/>
    </row>
    <row r="112" ht="15.75" customHeight="1">
      <c r="A112" s="59" t="s">
        <v>269</v>
      </c>
    </row>
    <row r="113" ht="15.75" customHeight="1">
      <c r="A113" s="53" t="s">
        <v>182</v>
      </c>
      <c r="B113" s="20"/>
      <c r="C113" s="21"/>
      <c r="D113" s="21"/>
      <c r="E113" s="21"/>
      <c r="F113" s="21"/>
      <c r="G113" s="21"/>
      <c r="H113" s="22"/>
    </row>
    <row r="114" ht="15.75" customHeight="1">
      <c r="A114" s="53" t="s">
        <v>182</v>
      </c>
      <c r="B114" s="20"/>
      <c r="C114" s="21"/>
      <c r="D114" s="21"/>
      <c r="E114" s="21"/>
      <c r="F114" s="21"/>
      <c r="G114" s="21"/>
      <c r="H114" s="22"/>
    </row>
    <row r="115" ht="15.75" customHeight="1">
      <c r="A115" s="53" t="s">
        <v>182</v>
      </c>
      <c r="B115" s="20"/>
      <c r="C115" s="21"/>
      <c r="D115" s="21"/>
      <c r="E115" s="21"/>
      <c r="F115" s="21"/>
      <c r="G115" s="21"/>
      <c r="H115" s="22"/>
    </row>
    <row r="116" ht="15.75" customHeight="1">
      <c r="A116" s="53" t="s">
        <v>259</v>
      </c>
      <c r="B116" s="20"/>
      <c r="C116" s="21"/>
      <c r="D116" s="21"/>
      <c r="E116" s="21"/>
      <c r="F116" s="21"/>
      <c r="G116" s="21"/>
      <c r="H116" s="22"/>
    </row>
    <row r="117" ht="15.75" customHeight="1">
      <c r="A117" s="44" t="s">
        <v>261</v>
      </c>
      <c r="B117" s="21"/>
      <c r="C117" s="21"/>
      <c r="D117" s="21"/>
      <c r="E117" s="21"/>
      <c r="F117" s="21"/>
      <c r="G117" s="21"/>
      <c r="H117" s="22"/>
    </row>
    <row r="118" ht="15.75" customHeight="1">
      <c r="A118" s="64"/>
      <c r="B118" s="46"/>
      <c r="C118" s="46"/>
      <c r="D118" s="46"/>
      <c r="E118" s="46"/>
      <c r="F118" s="46"/>
      <c r="G118" s="46"/>
      <c r="H118" s="47"/>
    </row>
    <row r="119" ht="15.75" customHeight="1">
      <c r="A119" s="60"/>
      <c r="H119" s="61"/>
    </row>
    <row r="120" ht="15.75" customHeight="1">
      <c r="A120" s="48"/>
      <c r="B120" s="49"/>
      <c r="C120" s="49"/>
      <c r="D120" s="49"/>
      <c r="E120" s="49"/>
      <c r="F120" s="49"/>
      <c r="G120" s="49"/>
      <c r="H120" s="50"/>
    </row>
    <row r="121" ht="15.75" customHeight="1">
      <c r="A121" s="44" t="s">
        <v>263</v>
      </c>
      <c r="B121" s="21"/>
      <c r="C121" s="21"/>
      <c r="D121" s="21"/>
      <c r="E121" s="21"/>
      <c r="F121" s="21"/>
      <c r="G121" s="21"/>
      <c r="H121" s="22"/>
    </row>
    <row r="122" ht="15.75" customHeight="1">
      <c r="A122" s="64"/>
      <c r="B122" s="46"/>
      <c r="C122" s="46"/>
      <c r="D122" s="46"/>
      <c r="E122" s="46"/>
      <c r="F122" s="46"/>
      <c r="G122" s="46"/>
      <c r="H122" s="47"/>
    </row>
    <row r="123" ht="15.75" customHeight="1">
      <c r="A123" s="60"/>
      <c r="H123" s="61"/>
    </row>
    <row r="124" ht="15.75" customHeight="1">
      <c r="A124" s="60"/>
      <c r="H124" s="61"/>
    </row>
    <row r="125" ht="15.75" customHeight="1">
      <c r="A125" s="48"/>
      <c r="B125" s="49"/>
      <c r="C125" s="49"/>
      <c r="D125" s="49"/>
      <c r="E125" s="49"/>
      <c r="F125" s="49"/>
      <c r="G125" s="49"/>
      <c r="H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8"/>
    </row>
    <row r="2" ht="15.75" customHeight="1">
      <c r="A2" s="18"/>
      <c r="B2" s="38" t="s">
        <v>296</v>
      </c>
    </row>
    <row r="3" ht="15.75" customHeight="1">
      <c r="A3" s="18"/>
    </row>
    <row r="4" ht="15.75" customHeight="1">
      <c r="A4" s="18"/>
      <c r="B4" s="3" t="s">
        <v>1</v>
      </c>
      <c r="C4" s="3" t="str">
        <f>'Diseño'!C4</f>
        <v>786 - Sistemas Organizacionales y Gerenciales 1</v>
      </c>
    </row>
    <row r="5" ht="15.75" customHeight="1">
      <c r="A5" s="18"/>
      <c r="B5" s="18" t="s">
        <v>3</v>
      </c>
      <c r="C5" s="5" t="s">
        <v>4</v>
      </c>
    </row>
    <row r="6" ht="15.75" customHeight="1">
      <c r="A6" s="18"/>
      <c r="B6" s="18" t="s">
        <v>297</v>
      </c>
      <c r="H6" s="74"/>
    </row>
    <row r="7" ht="15.75" customHeight="1">
      <c r="A7" s="18"/>
    </row>
    <row r="8" ht="15.75" customHeight="1">
      <c r="A8" s="18"/>
    </row>
    <row r="9" ht="15.75" customHeight="1">
      <c r="A9" s="35" t="s">
        <v>298</v>
      </c>
      <c r="B9" s="75"/>
      <c r="D9" s="35" t="s">
        <v>255</v>
      </c>
      <c r="E9" s="76"/>
      <c r="F9" s="77"/>
      <c r="G9" s="77"/>
      <c r="H9" s="77"/>
      <c r="I9" s="77"/>
      <c r="J9" s="77"/>
      <c r="K9" s="77"/>
      <c r="L9" s="77"/>
      <c r="M9" s="77"/>
      <c r="N9" s="77"/>
      <c r="O9" s="77"/>
      <c r="P9" s="77"/>
      <c r="Q9" s="77"/>
      <c r="R9" s="77"/>
      <c r="S9" s="77"/>
      <c r="T9" s="77"/>
      <c r="U9" s="77"/>
      <c r="V9" s="77"/>
      <c r="W9" s="77"/>
      <c r="X9" s="77"/>
      <c r="Y9" s="77"/>
      <c r="Z9" s="77"/>
    </row>
    <row r="10" ht="15.75" customHeight="1">
      <c r="A10" s="78" t="s">
        <v>299</v>
      </c>
      <c r="D10" s="78" t="s">
        <v>300</v>
      </c>
    </row>
    <row r="11" ht="15.75" customHeight="1">
      <c r="A11" s="79"/>
      <c r="B11" s="80"/>
      <c r="C11" s="80"/>
      <c r="D11" s="80"/>
    </row>
    <row r="12" ht="15.75" customHeight="1">
      <c r="A12" s="81" t="s">
        <v>205</v>
      </c>
      <c r="B12" s="82" t="s">
        <v>301</v>
      </c>
      <c r="C12" s="82" t="s">
        <v>302</v>
      </c>
      <c r="D12" s="82" t="s">
        <v>303</v>
      </c>
    </row>
    <row r="13" ht="30.0" customHeight="1">
      <c r="A13" s="40" t="s">
        <v>304</v>
      </c>
      <c r="B13" s="23"/>
      <c r="C13" s="23"/>
      <c r="D13" s="23"/>
      <c r="E13" s="78" t="s">
        <v>305</v>
      </c>
    </row>
    <row r="14" ht="15.75" customHeight="1">
      <c r="A14" s="40" t="s">
        <v>255</v>
      </c>
      <c r="B14" s="23">
        <f>Proyectos!C6</f>
        <v>60</v>
      </c>
      <c r="C14" s="23">
        <f>Proyectos!C5</f>
        <v>120</v>
      </c>
      <c r="D14" s="23"/>
    </row>
    <row r="15" ht="15.75" customHeight="1">
      <c r="A15" s="40" t="s">
        <v>272</v>
      </c>
      <c r="B15" s="23">
        <f>Practicas!C6</f>
        <v>30</v>
      </c>
      <c r="C15" s="23">
        <f>Practicas!C5</f>
        <v>150</v>
      </c>
      <c r="D15" s="23"/>
    </row>
    <row r="16" ht="15.75" customHeight="1">
      <c r="A16" s="83" t="s">
        <v>306</v>
      </c>
      <c r="B16" s="58">
        <v>10.0</v>
      </c>
      <c r="C16" s="23">
        <f>Tareas!C5</f>
        <v>0</v>
      </c>
      <c r="D16" s="23"/>
    </row>
    <row r="17" ht="15.75" customHeight="1">
      <c r="A17" s="84" t="s">
        <v>307</v>
      </c>
      <c r="B17" s="85">
        <f t="shared" ref="B17:C17" si="1">SUM(B13:B16)</f>
        <v>100</v>
      </c>
      <c r="C17" s="85">
        <f t="shared" si="1"/>
        <v>270</v>
      </c>
      <c r="D17" s="85"/>
    </row>
    <row r="18" ht="15.75" customHeight="1">
      <c r="A18" s="18"/>
    </row>
    <row r="19" ht="15.75" customHeight="1">
      <c r="A19" s="18"/>
    </row>
    <row r="20" ht="15.75" customHeight="1">
      <c r="A20" s="18"/>
    </row>
    <row r="21" ht="15.75" customHeight="1">
      <c r="A21" s="18"/>
    </row>
    <row r="22" ht="15.75" customHeight="1">
      <c r="A22" s="18"/>
    </row>
    <row r="23" ht="15.75" customHeight="1">
      <c r="A23" s="18"/>
    </row>
    <row r="24" ht="15.75" customHeight="1">
      <c r="A24" s="18"/>
    </row>
    <row r="25" ht="15.75" customHeight="1">
      <c r="A25" s="18"/>
    </row>
    <row r="26" ht="15.75" customHeight="1">
      <c r="A26" s="18"/>
    </row>
    <row r="27" ht="15.75" customHeight="1">
      <c r="A27" s="18"/>
    </row>
    <row r="28" ht="15.75" customHeight="1">
      <c r="A28" s="18"/>
    </row>
    <row r="29" ht="15.75" customHeight="1">
      <c r="A29" s="18"/>
    </row>
    <row r="30" ht="15.75" customHeight="1">
      <c r="A30" s="18"/>
    </row>
    <row r="31" ht="15.75" customHeight="1">
      <c r="A31" s="18"/>
    </row>
    <row r="32" ht="15.75" customHeight="1">
      <c r="A32" s="18"/>
    </row>
    <row r="33" ht="15.75" customHeight="1">
      <c r="A33" s="18"/>
    </row>
    <row r="34" ht="15.75" customHeight="1">
      <c r="A34" s="18"/>
    </row>
    <row r="35" ht="15.75" customHeight="1">
      <c r="A35" s="18"/>
    </row>
    <row r="36" ht="15.75" customHeight="1">
      <c r="A36" s="18"/>
    </row>
    <row r="37" ht="15.75" customHeight="1">
      <c r="A37" s="18"/>
    </row>
    <row r="38" ht="15.75" customHeight="1">
      <c r="A38" s="18"/>
    </row>
    <row r="39" ht="15.75" customHeight="1">
      <c r="A39" s="18"/>
    </row>
    <row r="40" ht="15.75" customHeight="1">
      <c r="A40" s="18"/>
    </row>
    <row r="41" ht="15.75" customHeight="1">
      <c r="A41" s="18"/>
    </row>
    <row r="42" ht="15.75" customHeight="1">
      <c r="A42" s="18"/>
    </row>
    <row r="43" ht="15.75" customHeight="1">
      <c r="A43" s="18"/>
    </row>
    <row r="44" ht="15.75" customHeight="1">
      <c r="A44" s="18"/>
    </row>
    <row r="45" ht="15.75" customHeight="1">
      <c r="A45" s="18"/>
    </row>
    <row r="46" ht="15.75" customHeight="1">
      <c r="A46" s="18"/>
    </row>
    <row r="47" ht="15.75" customHeight="1">
      <c r="A47" s="18"/>
    </row>
    <row r="48" ht="15.75" customHeight="1">
      <c r="A48" s="18"/>
    </row>
    <row r="49" ht="15.75" customHeight="1">
      <c r="A49" s="18"/>
    </row>
    <row r="50" ht="15.75" customHeight="1">
      <c r="A50" s="18"/>
    </row>
    <row r="51" ht="15.75" customHeight="1">
      <c r="A51" s="18"/>
    </row>
    <row r="52" ht="15.75" customHeight="1">
      <c r="A52" s="18"/>
    </row>
    <row r="53" ht="15.75" customHeight="1">
      <c r="A53" s="18"/>
    </row>
    <row r="54" ht="15.75" customHeight="1">
      <c r="A54" s="18"/>
    </row>
    <row r="55" ht="15.75" customHeight="1">
      <c r="A55" s="18"/>
    </row>
    <row r="56" ht="15.75" customHeight="1">
      <c r="A56" s="18"/>
    </row>
    <row r="57" ht="15.75" customHeight="1">
      <c r="A57" s="18"/>
    </row>
    <row r="58" ht="15.75" customHeight="1">
      <c r="A58" s="18"/>
    </row>
    <row r="59" ht="15.75" customHeight="1">
      <c r="A59" s="18"/>
    </row>
    <row r="60" ht="15.75" customHeight="1">
      <c r="A60" s="18"/>
    </row>
    <row r="61" ht="15.75" customHeight="1">
      <c r="A61" s="18"/>
    </row>
    <row r="62" ht="15.75" customHeight="1">
      <c r="A62" s="18"/>
    </row>
    <row r="63" ht="15.75" customHeight="1">
      <c r="A63" s="18"/>
    </row>
    <row r="64" ht="15.75" customHeight="1">
      <c r="A64" s="18"/>
    </row>
    <row r="65" ht="15.75" customHeight="1">
      <c r="A65" s="18"/>
    </row>
    <row r="66" ht="15.75" customHeight="1">
      <c r="A66" s="18"/>
    </row>
    <row r="67" ht="15.75" customHeight="1">
      <c r="A67" s="18"/>
    </row>
    <row r="68" ht="15.75" customHeight="1">
      <c r="A68" s="18"/>
    </row>
    <row r="69" ht="15.75" customHeight="1">
      <c r="A69" s="18"/>
    </row>
    <row r="70" ht="15.75" customHeight="1">
      <c r="A70" s="18"/>
    </row>
    <row r="71" ht="15.75" customHeight="1">
      <c r="A71" s="18"/>
    </row>
    <row r="72" ht="15.75" customHeight="1">
      <c r="A72" s="18"/>
    </row>
    <row r="73" ht="15.75" customHeight="1">
      <c r="A73" s="18"/>
    </row>
    <row r="74" ht="15.75" customHeight="1">
      <c r="A74" s="18"/>
    </row>
    <row r="75" ht="15.75" customHeight="1">
      <c r="A75" s="18"/>
    </row>
    <row r="76" ht="15.75" customHeight="1">
      <c r="A76" s="18"/>
    </row>
    <row r="77" ht="15.75" customHeight="1">
      <c r="A77" s="18"/>
    </row>
    <row r="78" ht="15.75" customHeight="1">
      <c r="A78" s="18"/>
    </row>
    <row r="79" ht="15.75" customHeight="1">
      <c r="A79" s="18"/>
    </row>
    <row r="80" ht="15.75" customHeight="1">
      <c r="A80" s="18"/>
    </row>
    <row r="81" ht="15.75" customHeight="1">
      <c r="A81" s="18"/>
    </row>
    <row r="82" ht="15.75" customHeight="1">
      <c r="A82" s="18"/>
    </row>
    <row r="83" ht="15.75" customHeight="1">
      <c r="A83" s="18"/>
    </row>
    <row r="84" ht="15.75" customHeight="1">
      <c r="A84" s="18"/>
    </row>
    <row r="85" ht="15.75" customHeight="1">
      <c r="A85" s="18"/>
    </row>
    <row r="86" ht="15.75" customHeight="1">
      <c r="A86" s="18"/>
    </row>
    <row r="87" ht="15.75" customHeight="1">
      <c r="A87" s="18"/>
    </row>
    <row r="88" ht="15.75" customHeight="1">
      <c r="A88" s="18"/>
    </row>
    <row r="89" ht="15.75" customHeight="1">
      <c r="A89" s="18"/>
    </row>
    <row r="90" ht="15.75" customHeight="1">
      <c r="A90" s="18"/>
    </row>
    <row r="91" ht="15.75" customHeight="1">
      <c r="A91" s="18"/>
    </row>
    <row r="92" ht="15.75" customHeight="1">
      <c r="A92" s="18"/>
    </row>
    <row r="93" ht="15.75" customHeight="1">
      <c r="A93" s="18"/>
    </row>
    <row r="94" ht="15.75" customHeight="1">
      <c r="A94" s="18"/>
    </row>
    <row r="95" ht="15.75" customHeight="1">
      <c r="A95" s="18"/>
    </row>
    <row r="96" ht="15.75" customHeight="1">
      <c r="A96" s="18"/>
    </row>
    <row r="97" ht="15.75" customHeight="1">
      <c r="A97" s="18"/>
    </row>
    <row r="98" ht="15.75" customHeight="1">
      <c r="A98" s="18"/>
    </row>
    <row r="99" ht="15.75" customHeight="1">
      <c r="A99" s="18"/>
    </row>
    <row r="100" ht="15.75" customHeight="1">
      <c r="A100" s="18"/>
    </row>
    <row r="101" ht="15.75" customHeight="1">
      <c r="A101" s="18"/>
    </row>
    <row r="102" ht="15.75" customHeight="1">
      <c r="A102" s="18"/>
    </row>
    <row r="103" ht="15.75" customHeight="1">
      <c r="A103" s="18"/>
    </row>
    <row r="104" ht="15.75" customHeight="1">
      <c r="A104" s="18"/>
    </row>
    <row r="105" ht="15.75" customHeight="1">
      <c r="A105" s="18"/>
    </row>
    <row r="106" ht="15.75" customHeight="1">
      <c r="A106" s="18"/>
    </row>
    <row r="107" ht="15.75" customHeight="1">
      <c r="A107" s="18"/>
    </row>
    <row r="108" ht="15.75" customHeight="1">
      <c r="A108" s="18"/>
    </row>
    <row r="109" ht="15.75" customHeight="1">
      <c r="A109" s="18"/>
    </row>
    <row r="110" ht="15.75" customHeight="1">
      <c r="A110" s="18"/>
    </row>
    <row r="111" ht="15.75" customHeight="1">
      <c r="A111" s="18"/>
    </row>
    <row r="112" ht="15.75" customHeight="1">
      <c r="A112" s="18"/>
    </row>
    <row r="113" ht="15.75" customHeight="1">
      <c r="A113" s="18"/>
    </row>
    <row r="114" ht="15.75" customHeight="1">
      <c r="A114" s="18"/>
    </row>
    <row r="115" ht="15.75" customHeight="1">
      <c r="A115" s="18"/>
    </row>
    <row r="116" ht="15.75" customHeight="1">
      <c r="A116" s="18"/>
    </row>
    <row r="117" ht="15.75" customHeight="1">
      <c r="A117" s="18"/>
    </row>
    <row r="118" ht="15.75" customHeight="1">
      <c r="A118" s="18"/>
    </row>
    <row r="119" ht="15.75" customHeight="1">
      <c r="A119" s="18"/>
    </row>
    <row r="120" ht="15.75" customHeight="1">
      <c r="A120" s="18"/>
    </row>
    <row r="121" ht="15.75" customHeight="1">
      <c r="A121" s="18"/>
    </row>
    <row r="122" ht="15.75" customHeight="1">
      <c r="A122" s="18"/>
    </row>
    <row r="123" ht="15.75" customHeight="1">
      <c r="A123" s="18"/>
    </row>
    <row r="124" ht="15.75" customHeight="1">
      <c r="A124" s="18"/>
    </row>
    <row r="125" ht="15.75" customHeight="1">
      <c r="A125" s="18"/>
    </row>
    <row r="126" ht="15.75" customHeight="1">
      <c r="A126" s="18"/>
    </row>
    <row r="127" ht="15.75" customHeight="1">
      <c r="A127" s="18"/>
    </row>
    <row r="128" ht="15.75" customHeight="1">
      <c r="A128" s="18"/>
    </row>
    <row r="129" ht="15.75" customHeight="1">
      <c r="A129" s="18"/>
    </row>
    <row r="130" ht="15.75" customHeight="1">
      <c r="A130" s="18"/>
    </row>
    <row r="131" ht="15.75" customHeight="1">
      <c r="A131" s="18"/>
    </row>
    <row r="132" ht="15.75" customHeight="1">
      <c r="A132" s="18"/>
    </row>
    <row r="133" ht="15.75" customHeight="1">
      <c r="A133" s="18"/>
    </row>
    <row r="134" ht="15.75" customHeight="1">
      <c r="A134" s="18"/>
    </row>
    <row r="135" ht="15.75" customHeight="1">
      <c r="A135" s="18"/>
    </row>
    <row r="136" ht="15.75" customHeight="1">
      <c r="A136" s="18"/>
    </row>
    <row r="137" ht="15.75" customHeight="1">
      <c r="A137" s="18"/>
    </row>
    <row r="138" ht="15.75" customHeight="1">
      <c r="A138" s="18"/>
    </row>
    <row r="139" ht="15.75" customHeight="1">
      <c r="A139" s="18"/>
    </row>
    <row r="140" ht="15.75" customHeight="1">
      <c r="A140" s="18"/>
    </row>
    <row r="141" ht="15.75" customHeight="1">
      <c r="A141" s="18"/>
    </row>
    <row r="142" ht="15.75" customHeight="1">
      <c r="A142" s="18"/>
    </row>
    <row r="143" ht="15.75" customHeight="1">
      <c r="A143" s="18"/>
    </row>
    <row r="144" ht="15.75" customHeight="1">
      <c r="A144" s="18"/>
    </row>
    <row r="145" ht="15.75" customHeight="1">
      <c r="A145" s="18"/>
    </row>
    <row r="146" ht="15.75" customHeight="1">
      <c r="A146" s="18"/>
    </row>
    <row r="147" ht="15.75" customHeight="1">
      <c r="A147" s="18"/>
    </row>
    <row r="148" ht="15.75" customHeight="1">
      <c r="A148" s="18"/>
    </row>
    <row r="149" ht="15.75" customHeight="1">
      <c r="A149" s="18"/>
    </row>
    <row r="150" ht="15.75" customHeight="1">
      <c r="A150" s="18"/>
    </row>
    <row r="151" ht="15.75" customHeight="1">
      <c r="A151" s="18"/>
    </row>
    <row r="152" ht="15.75" customHeight="1">
      <c r="A152" s="18"/>
    </row>
    <row r="153" ht="15.75" customHeight="1">
      <c r="A153" s="18"/>
    </row>
    <row r="154" ht="15.75" customHeight="1">
      <c r="A154" s="18"/>
    </row>
    <row r="155" ht="15.75" customHeight="1">
      <c r="A155" s="18"/>
    </row>
    <row r="156" ht="15.75" customHeight="1">
      <c r="A156" s="18"/>
    </row>
    <row r="157" ht="15.75" customHeight="1">
      <c r="A157" s="18"/>
    </row>
    <row r="158" ht="15.75" customHeight="1">
      <c r="A158" s="18"/>
    </row>
    <row r="159" ht="15.75" customHeight="1">
      <c r="A159" s="18"/>
    </row>
    <row r="160" ht="15.75" customHeight="1">
      <c r="A160" s="18"/>
    </row>
    <row r="161" ht="15.75" customHeight="1">
      <c r="A161" s="18"/>
    </row>
    <row r="162" ht="15.75" customHeight="1">
      <c r="A162" s="18"/>
    </row>
    <row r="163" ht="15.75" customHeight="1">
      <c r="A163" s="18"/>
    </row>
    <row r="164" ht="15.75" customHeight="1">
      <c r="A164" s="18"/>
    </row>
    <row r="165" ht="15.75" customHeight="1">
      <c r="A165" s="18"/>
    </row>
    <row r="166" ht="15.75" customHeight="1">
      <c r="A166" s="18"/>
    </row>
    <row r="167" ht="15.75" customHeight="1">
      <c r="A167" s="18"/>
    </row>
    <row r="168" ht="15.75" customHeight="1">
      <c r="A168" s="18"/>
    </row>
    <row r="169" ht="15.75" customHeight="1">
      <c r="A169" s="18"/>
    </row>
    <row r="170" ht="15.75" customHeight="1">
      <c r="A170" s="18"/>
    </row>
    <row r="171" ht="15.75" customHeight="1">
      <c r="A171" s="18"/>
    </row>
    <row r="172" ht="15.75" customHeight="1">
      <c r="A172" s="18"/>
    </row>
    <row r="173" ht="15.75" customHeight="1">
      <c r="A173" s="18"/>
    </row>
    <row r="174" ht="15.75" customHeight="1">
      <c r="A174" s="18"/>
    </row>
    <row r="175" ht="15.75" customHeight="1">
      <c r="A175" s="18"/>
    </row>
    <row r="176" ht="15.75" customHeight="1">
      <c r="A176" s="18"/>
    </row>
    <row r="177" ht="15.75" customHeight="1">
      <c r="A177" s="18"/>
    </row>
    <row r="178" ht="15.75" customHeight="1">
      <c r="A178" s="18"/>
    </row>
    <row r="179" ht="15.75" customHeight="1">
      <c r="A179" s="18"/>
    </row>
    <row r="180" ht="15.75" customHeight="1">
      <c r="A180" s="18"/>
    </row>
    <row r="181" ht="15.75" customHeight="1">
      <c r="A181" s="18"/>
    </row>
    <row r="182" ht="15.75" customHeight="1">
      <c r="A182" s="18"/>
    </row>
    <row r="183" ht="15.75" customHeight="1">
      <c r="A183" s="18"/>
    </row>
    <row r="184" ht="15.75" customHeight="1">
      <c r="A184" s="18"/>
    </row>
    <row r="185" ht="15.75" customHeight="1">
      <c r="A185" s="18"/>
    </row>
    <row r="186" ht="15.75" customHeight="1">
      <c r="A186" s="18"/>
    </row>
    <row r="187" ht="15.75" customHeight="1">
      <c r="A187" s="18"/>
    </row>
    <row r="188" ht="15.75" customHeight="1">
      <c r="A188" s="18"/>
    </row>
    <row r="189" ht="15.75" customHeight="1">
      <c r="A189" s="18"/>
    </row>
    <row r="190" ht="15.75" customHeight="1">
      <c r="A190" s="18"/>
    </row>
    <row r="191" ht="15.75" customHeight="1">
      <c r="A191" s="18"/>
    </row>
    <row r="192" ht="15.75" customHeight="1">
      <c r="A192" s="18"/>
    </row>
    <row r="193" ht="15.75" customHeight="1">
      <c r="A193" s="18"/>
    </row>
    <row r="194" ht="15.75" customHeight="1">
      <c r="A194" s="18"/>
    </row>
    <row r="195" ht="15.75" customHeight="1">
      <c r="A195" s="18"/>
    </row>
    <row r="196" ht="15.75" customHeight="1">
      <c r="A196" s="18"/>
    </row>
    <row r="197" ht="15.75" customHeight="1">
      <c r="A197" s="18"/>
    </row>
    <row r="198" ht="15.75" customHeight="1">
      <c r="A198" s="18"/>
    </row>
    <row r="199" ht="15.75" customHeight="1">
      <c r="A199" s="18"/>
    </row>
    <row r="200" ht="15.75" customHeight="1">
      <c r="A200" s="18"/>
    </row>
    <row r="201" ht="15.75" customHeight="1">
      <c r="A201" s="18"/>
    </row>
    <row r="202" ht="15.75" customHeight="1">
      <c r="A202" s="18"/>
    </row>
    <row r="203" ht="15.75" customHeight="1">
      <c r="A203" s="18"/>
    </row>
    <row r="204" ht="15.75" customHeight="1">
      <c r="A204" s="18"/>
    </row>
    <row r="205" ht="15.75" customHeight="1">
      <c r="A205" s="18"/>
    </row>
    <row r="206" ht="15.75" customHeight="1">
      <c r="A206" s="18"/>
    </row>
    <row r="207" ht="15.75" customHeight="1">
      <c r="A207" s="18"/>
    </row>
    <row r="208" ht="15.75" customHeight="1">
      <c r="A208" s="18"/>
    </row>
    <row r="209" ht="15.75" customHeight="1">
      <c r="A209" s="18"/>
    </row>
    <row r="210" ht="15.75" customHeight="1">
      <c r="A210" s="18"/>
    </row>
    <row r="211" ht="15.75" customHeight="1">
      <c r="A211" s="18"/>
    </row>
    <row r="212" ht="15.75" customHeight="1">
      <c r="A212" s="18"/>
    </row>
    <row r="213" ht="15.75" customHeight="1">
      <c r="A213" s="18"/>
    </row>
    <row r="214" ht="15.75" customHeight="1">
      <c r="A214" s="18"/>
    </row>
    <row r="215" ht="15.75" customHeight="1">
      <c r="A215" s="18"/>
    </row>
    <row r="216" ht="15.75" customHeight="1">
      <c r="A216" s="18"/>
    </row>
    <row r="217" ht="15.75" customHeight="1">
      <c r="A217" s="18"/>
    </row>
    <row r="218" ht="15.75" customHeight="1">
      <c r="A218" s="18"/>
    </row>
    <row r="219" ht="15.75" customHeight="1">
      <c r="A219" s="18"/>
    </row>
    <row r="220" ht="15.75" customHeight="1">
      <c r="A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IFERROR(__xludf.DUMMYFUNCTION("""COMPUTED_VALUE"""),"Especifica")</f>
        <v>Especifica</v>
      </c>
      <c r="J1" s="5" t="str">
        <f>IFERROR(__xludf.DUMMYFUNCTION("""COMPUTED_VALUE"""),"implementa")</f>
        <v>implementa</v>
      </c>
      <c r="K1" s="5" t="str">
        <f>IFERROR(__xludf.DUMMYFUNCTION("""COMPUTED_VALUE"""),"sistemas de información organizacionales")</f>
        <v>sistemas de información organizacionales</v>
      </c>
      <c r="L1" s="5"/>
      <c r="M1" s="5" t="str">
        <f>IFERROR(__xludf.DUMMYFUNCTION("""COMPUTED_VALUE"""),"utilizando tecnologías de información y comunicación")</f>
        <v>utilizando tecnologías de información y comunicación</v>
      </c>
      <c r="N1" s="5" t="str">
        <f>IFERROR(__xludf.DUMMYFUNCTION("""COMPUTED_VALUE"""),"con el fin de apoyar la transformación digital y la toma de decisiones estratégicas en la empresa")</f>
        <v>con el fin de apoyar la transformación digital y la toma de decisiones estratégicas en la empresa</v>
      </c>
      <c r="O1" s="5"/>
      <c r="P1" s="5" t="str">
        <f>IFERROR(__xludf.DUMMYFUNCTION("""COMPUTED_VALUE"""),"Aplicar")</f>
        <v>Aplicar</v>
      </c>
    </row>
    <row r="2" ht="15.75" customHeight="1">
      <c r="A2" s="5" t="str">
        <f>IFERROR(__xludf.DUMMYFUNCTION("""COMPUTED_VALUE"""),"17 - Área Social Humanística 1")</f>
        <v>17 - Área Social Humanística 1</v>
      </c>
      <c r="B2" s="5"/>
      <c r="C2" s="5"/>
      <c r="D2" s="5"/>
      <c r="E2" s="5"/>
      <c r="H2" s="5"/>
      <c r="I2" s="5" t="str">
        <f>IFERROR(__xludf.DUMMYFUNCTION("""COMPUTED_VALUE"""),"implementa sistemas de información organizacionales utilizando tecnologías de información y comunicación con el fin de apoyar la transformación digital y la toma de decisiones estratégicas en la empresa ")</f>
        <v>implementa sistemas de información organizacionales utilizando tecnologías de información y comunicación con el fin de apoyar la transformación digital y la toma de decisiones estratégicas en la empresa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IFERROR(__xludf.DUMMYFUNCTION("""COMPUTED_VALUE"""),"Especifica")</f>
        <v>Especifica</v>
      </c>
      <c r="J3" s="5" t="str">
        <f>IFERROR(__xludf.DUMMYFUNCTION("""COMPUTED_VALUE"""),"moviliza")</f>
        <v>moviliza</v>
      </c>
      <c r="K3" s="5" t="str">
        <f>IFERROR(__xludf.DUMMYFUNCTION("""COMPUTED_VALUE"""),"habilidades de pensamiento crítico y resolución de problemas")</f>
        <v>habilidades de pensamiento crítico y resolución de problemas</v>
      </c>
      <c r="L3" s="5"/>
      <c r="M3" s="5" t="str">
        <f>IFERROR(__xludf.DUMMYFUNCTION("""COMPUTED_VALUE"""),"utilizando estudios de caso empresariales")</f>
        <v>utilizando estudios de caso empresariales</v>
      </c>
      <c r="N3" s="5" t="str">
        <f>IFERROR(__xludf.DUMMYFUNCTION("""COMPUTED_VALUE"""),"con el fin de fortalecer la toma de decisiones en entornos organizacionales")</f>
        <v>con el fin de fortalecer la toma de decisiones en entornos organizacionales</v>
      </c>
      <c r="O3" s="5"/>
      <c r="P3" s="5" t="str">
        <f>IFERROR(__xludf.DUMMYFUNCTION("""COMPUTED_VALUE"""),"Analizar")</f>
        <v>Analizar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IFERROR(__xludf.DUMMYFUNCTION("""COMPUTED_VALUE"""),"Especifica")</f>
        <v>Especifica</v>
      </c>
      <c r="J5" s="5" t="str">
        <f>IFERROR(__xludf.DUMMYFUNCTION("""COMPUTED_VALUE"""),"revisa")</f>
        <v>revisa</v>
      </c>
      <c r="K5" s="5" t="str">
        <f>IFERROR(__xludf.DUMMYFUNCTION("""COMPUTED_VALUE"""),"la evolución de los sistemas de información en la empresa")</f>
        <v>la evolución de los sistemas de información en la empresa</v>
      </c>
      <c r="L5" s="5"/>
      <c r="M5" s="5" t="str">
        <f>IFERROR(__xludf.DUMMYFUNCTION("""COMPUTED_VALUE"""),"mediante el análisis de casos históricos y actuales")</f>
        <v>mediante el análisis de casos históricos y actuales</v>
      </c>
      <c r="N5" s="5" t="str">
        <f>IFERROR(__xludf.DUMMYFUNCTION("""COMPUTED_VALUE"""),"con el fin de identificar tendencias y áreas de mejora")</f>
        <v>con el fin de identificar tendencias y áreas de mejora</v>
      </c>
      <c r="O5" s="5"/>
      <c r="P5" s="5" t="str">
        <f>IFERROR(__xludf.DUMMYFUNCTION("""COMPUTED_VALUE"""),"Analizar")</f>
        <v>Analizar</v>
      </c>
    </row>
    <row r="6" ht="15.75" customHeight="1">
      <c r="A6" s="5" t="str">
        <f>IFERROR(__xludf.DUMMYFUNCTION("""COMPUTED_VALUE"""),"6 - Idioma Tecnico 1")</f>
        <v>6 - Idioma Tecnico 1</v>
      </c>
      <c r="B6" s="5"/>
      <c r="C6" s="5"/>
      <c r="D6" s="5"/>
      <c r="E6" s="5"/>
      <c r="H6" s="5"/>
      <c r="I6" s="5"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IFERROR(__xludf.DUMMYFUNCTION("""COMPUTED_VALUE"""),"diseña")</f>
        <v>diseña</v>
      </c>
      <c r="K7" s="5" t="str">
        <f>IFERROR(__xludf.DUMMYFUNCTION("""COMPUTED_VALUE"""),"soluciones de sistemas de información geográfica (GIS) y de inteligencia de negocios (BI)")</f>
        <v>soluciones de sistemas de información geográfica (GIS) y de inteligencia de negocios (BI)</v>
      </c>
      <c r="L7" s="5"/>
      <c r="M7" s="5" t="str">
        <f>IFERROR(__xludf.DUMMYFUNCTION("""COMPUTED_VALUE"""),"utilizando software especializado")</f>
        <v>utilizando software especializado</v>
      </c>
      <c r="N7" s="5" t="str">
        <f>IFERROR(__xludf.DUMMYFUNCTION("""COMPUTED_VALUE"""),"con el fin de optimizar la visualización y análisis de datos estratégicos")</f>
        <v>con el fin de optimizar la visualización y análisis de datos estratégicos</v>
      </c>
      <c r="O7" s="5"/>
      <c r="P7" s="5" t="str">
        <f>IFERROR(__xludf.DUMMYFUNCTION("""COMPUTED_VALUE"""),"Crear")</f>
        <v>Crear</v>
      </c>
    </row>
    <row r="8" ht="15.75" customHeight="1">
      <c r="A8" s="5" t="str">
        <f>IFERROR(__xludf.DUMMYFUNCTION("""COMPUTED_VALUE"""),"103 - Área Matemática Básica 2")</f>
        <v>103 - Área Matemática Básica 2</v>
      </c>
      <c r="B8" s="5"/>
      <c r="C8" s="5"/>
      <c r="D8" s="5"/>
      <c r="E8" s="5"/>
      <c r="H8" s="5"/>
      <c r="I8" s="5"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IFERROR(__xludf.DUMMYFUNCTION("""COMPUTED_VALUE"""),"combina")</f>
        <v>combina</v>
      </c>
      <c r="K9" s="5" t="str">
        <f>IFERROR(__xludf.DUMMYFUNCTION("""COMPUTED_VALUE"""),"técnicas de trabajo en equipo y colaboración interdisciplinaria")</f>
        <v>técnicas de trabajo en equipo y colaboración interdisciplinaria</v>
      </c>
      <c r="L9" s="5"/>
      <c r="M9" s="5" t="str">
        <f>IFERROR(__xludf.DUMMYFUNCTION("""COMPUTED_VALUE"""),"empleando metodologías ágiles de gestión de proyectos")</f>
        <v>empleando metodologías ágiles de gestión de proyectos</v>
      </c>
      <c r="N9" s="5" t="str">
        <f>IFERROR(__xludf.DUMMYFUNCTION("""COMPUTED_VALUE"""),"con el fin de fomentar la innovación y eficiencia organizacional")</f>
        <v>con el fin de fomentar la innovación y eficiencia organizacional</v>
      </c>
      <c r="O9" s="5"/>
      <c r="P9" s="5" t="str">
        <f>IFERROR(__xludf.DUMMYFUNCTION("""COMPUTED_VALUE"""),"Crear")</f>
        <v>Crear</v>
      </c>
    </row>
    <row r="10" ht="15.75" customHeight="1">
      <c r="A10" s="5" t="str">
        <f>IFERROR(__xludf.DUMMYFUNCTION("""COMPUTED_VALUE"""),"147 - Física Básica")</f>
        <v>147 - Física Básica</v>
      </c>
      <c r="B10" s="5"/>
      <c r="C10" s="5"/>
      <c r="D10" s="5"/>
      <c r="E10" s="5"/>
      <c r="H10" s="5"/>
      <c r="I10" s="5"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IFERROR(__xludf.DUMMYFUNCTION("""COMPUTED_VALUE"""),"valida")</f>
        <v>valida</v>
      </c>
      <c r="K11" s="5" t="str">
        <f>IFERROR(__xludf.DUMMYFUNCTION("""COMPUTED_VALUE"""),"metodologías de gestión del cambio y rediseño de procesos organizativos")</f>
        <v>metodologías de gestión del cambio y rediseño de procesos organizativos</v>
      </c>
      <c r="L11" s="5"/>
      <c r="M11" s="5" t="str">
        <f>IFERROR(__xludf.DUMMYFUNCTION("""COMPUTED_VALUE"""),"utilizando modelos de cambio organizativo y técnicas de reingeniería")</f>
        <v>utilizando modelos de cambio organizativo y técnicas de reingeniería</v>
      </c>
      <c r="N11" s="5" t="str">
        <f>IFERROR(__xludf.DUMMYFUNCTION("""COMPUTED_VALUE"""),"con el fin de garantizar la incorporación efectiva de las TIC")</f>
        <v>con el fin de garantizar la incorporación efectiva de las TIC</v>
      </c>
      <c r="O11" s="5"/>
      <c r="P11" s="5" t="str">
        <f>IFERROR(__xludf.DUMMYFUNCTION("""COMPUTED_VALUE"""),"Evaluar")</f>
        <v>Evaluar</v>
      </c>
    </row>
    <row r="12" ht="15.75" customHeight="1">
      <c r="A12" s="5" t="str">
        <f>IFERROR(__xludf.DUMMYFUNCTION("""COMPUTED_VALUE"""),"8 - Idioma Técnico 2")</f>
        <v>8 - Idioma Técnico 2</v>
      </c>
      <c r="B12" s="5"/>
      <c r="C12" s="5"/>
      <c r="D12" s="5"/>
      <c r="E12" s="5"/>
      <c r="H12" s="5"/>
      <c r="I12" s="5" t="str">
        <f>IFERROR(__xludf.DUMMYFUNCTION("""COMPUTED_VALUE"""),"valida metodologías de gestión del cambio y rediseño de procesos organizativos utilizando modelos de cambio organizativo y técnicas de reingeniería con el fin de garantizar la incorporación efectiva de las TIC ")</f>
        <v>valida metodologías de gestión del cambio y rediseño de procesos organizativos utilizando modelos de cambio organizativo y técnicas de reingeniería con el fin de garantizar la incorporación efectiva de las TIC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IFERROR(__xludf.DUMMYFUNCTION("""COMPUTED_VALUE"""),"Especifica")</f>
        <v>Especifica</v>
      </c>
      <c r="J13" s="5" t="str">
        <f>IFERROR(__xludf.DUMMYFUNCTION("""COMPUTED_VALUE"""),"contrasta")</f>
        <v>contrasta</v>
      </c>
      <c r="K13" s="5" t="str">
        <f>IFERROR(__xludf.DUMMYFUNCTION("""COMPUTED_VALUE"""),"ideas, soluciones y propuestas relacionadas con sistemas de información")</f>
        <v>ideas, soluciones y propuestas relacionadas con sistemas de información</v>
      </c>
      <c r="L13" s="5"/>
      <c r="M13" s="5" t="str">
        <f>IFERROR(__xludf.DUMMYFUNCTION("""COMPUTED_VALUE"""),"utilizando herramientas de comunicación efectiva")</f>
        <v>utilizando herramientas de comunicación efectiva</v>
      </c>
      <c r="N13" s="5" t="str">
        <f>IFERROR(__xludf.DUMMYFUNCTION("""COMPUTED_VALUE"""),"con el fin de facilitar la colaboración y comprensión en la organización")</f>
        <v>con el fin de facilitar la colaboración y comprensión en la organización</v>
      </c>
      <c r="O13" s="5"/>
      <c r="P13" s="5" t="str">
        <f>IFERROR(__xludf.DUMMYFUNCTION("""COMPUTED_VALUE"""),"Analizar")</f>
        <v>Analizar</v>
      </c>
    </row>
    <row r="14" ht="15.75" customHeight="1">
      <c r="A14" s="5" t="str">
        <f>IFERROR(__xludf.DUMMYFUNCTION("""COMPUTED_VALUE"""),"962 - Matemática Para Computación 2")</f>
        <v>962 - Matemática Para Computación 2</v>
      </c>
      <c r="B14" s="5"/>
      <c r="C14" s="5"/>
      <c r="D14" s="5"/>
      <c r="E14" s="5"/>
      <c r="H14" s="5"/>
      <c r="I14" s="5" t="str">
        <f>IFERROR(__xludf.DUMMYFUNCTION("""COMPUTED_VALUE"""),"contrasta ideas, soluciones y propuestas relacionadas con sistemas de información utilizando herramientas de comunicación efectiva con el fin de facilitar la colaboración y comprensión en la organización ")</f>
        <v>contrasta ideas, soluciones y propuestas relacionadas con sistemas de información utilizando herramientas de comunicación efectiva con el fin de facilitar la colaboración y comprensión en la organización </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row>
    <row r="16" ht="15.75" customHeight="1">
      <c r="A16" s="5" t="str">
        <f>IFERROR(__xludf.DUMMYFUNCTION("""COMPUTED_VALUE"""),"107 - Área Matemática Intermedia 1")</f>
        <v>107 - Área Matemática Intermedia 1</v>
      </c>
      <c r="B16" s="5"/>
      <c r="C16" s="5"/>
      <c r="D16" s="5"/>
      <c r="E16" s="5"/>
    </row>
    <row r="17" ht="15.75" customHeight="1">
      <c r="A17" s="5" t="str">
        <f>IFERROR(__xludf.DUMMYFUNCTION("""COMPUTED_VALUE"""),"150 - Fisica 1")</f>
        <v>150 - Fisica 1</v>
      </c>
      <c r="B17" s="5"/>
      <c r="C17" s="5"/>
      <c r="D17" s="5"/>
      <c r="E17" s="5"/>
      <c r="I17" s="5" t="str">
        <f>I2</f>
        <v>implementa sistemas de información organizacionales utilizando tecnologías de información y comunicación con el fin de apoyar la transformación digital y la toma de decisiones estratégicas en la empresa </v>
      </c>
    </row>
    <row r="18" ht="15.75" customHeight="1">
      <c r="A18" s="5" t="str">
        <f>IFERROR(__xludf.DUMMYFUNCTION("""COMPUTED_VALUE"""),"1 - Ética Profesional")</f>
        <v>1 - Ética Profesional</v>
      </c>
      <c r="B18" s="5"/>
      <c r="C18" s="5"/>
      <c r="D18" s="5"/>
      <c r="E18" s="5"/>
      <c r="I18" s="5" t="str">
        <f>I4</f>
        <v>moviliza habilidades de pensamiento crítico y resolución de problemas utilizando estudios de caso empresariales con el fin de fortalecer la toma de decisiones en entornos organizacionales </v>
      </c>
    </row>
    <row r="19" ht="15.75" customHeight="1">
      <c r="A19" s="5" t="str">
        <f>IFERROR(__xludf.DUMMYFUNCTION("""COMPUTED_VALUE"""),"9 - Idioma Técnico 3")</f>
        <v>9 - Idioma Técnico 3</v>
      </c>
      <c r="B19" s="5"/>
      <c r="C19" s="5"/>
      <c r="D19" s="5"/>
      <c r="E19" s="5"/>
      <c r="I19" s="5" t="str">
        <f>I6</f>
        <v>revisa la evolución de los sistemas de información en la empresa mediante el análisis de casos históricos y actuales con el fin de identificar tendencias y áreas de mejora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diseña soluciones de sistemas de información geográfica (GIS) y de inteligencia de negocios (BI) utilizando software especializado con el fin de optimizar la visualización y análisis de datos estratégicos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combina técnicas de trabajo en equipo y colaboración interdisciplinaria empleando metodologías ágiles de gestión de proyectos con el fin de fomentar la innovación y eficiencia organizacional </v>
      </c>
    </row>
    <row r="22" ht="15.75" customHeight="1">
      <c r="A22" s="5" t="str">
        <f>IFERROR(__xludf.DUMMYFUNCTION("""COMPUTED_VALUE"""),"112 - Área Matemática Intermedia 2")</f>
        <v>112 - Área Matemática Intermedia 2</v>
      </c>
      <c r="B22" s="5"/>
      <c r="C22" s="5"/>
      <c r="D22" s="5"/>
      <c r="E22" s="5"/>
      <c r="I22" s="5" t="str">
        <f>I12</f>
        <v>valida metodologías de gestión del cambio y rediseño de procesos organizativos utilizando modelos de cambio organizativo y técnicas de reingeniería con el fin de garantizar la incorporación efectiva de las TIC </v>
      </c>
    </row>
    <row r="23" ht="15.75" customHeight="1">
      <c r="A23" s="5" t="str">
        <f>IFERROR(__xludf.DUMMYFUNCTION("""COMPUTED_VALUE"""),"114 - Área Matemática Intermedia 3")</f>
        <v>114 - Área Matemática Intermedia 3</v>
      </c>
      <c r="B23" s="5"/>
      <c r="C23" s="5"/>
      <c r="D23" s="5"/>
      <c r="E23" s="5"/>
      <c r="I23" s="5" t="str">
        <f>I14</f>
        <v>contrasta ideas, soluciones y propuestas relacionadas con sistemas de información utilizando herramientas de comunicación efectiva con el fin de facilitar la colaboración y comprensión en la organización </v>
      </c>
    </row>
    <row r="24" ht="15.75" customHeight="1">
      <c r="A24" s="5" t="str">
        <f>IFERROR(__xludf.DUMMYFUNCTION("""COMPUTED_VALUE"""),"152 - Física 2")</f>
        <v>152 - Física 2</v>
      </c>
      <c r="B24" s="5"/>
      <c r="C24" s="5"/>
      <c r="D24" s="5"/>
      <c r="E24" s="5"/>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